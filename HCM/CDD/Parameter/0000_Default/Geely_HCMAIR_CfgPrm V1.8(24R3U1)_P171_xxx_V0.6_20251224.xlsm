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860" tabRatio="898"/>
  </bookViews>
  <sheets>
    <sheet name="Version Information" sheetId="76" r:id="rId1"/>
    <sheet name="data2" sheetId="83" state="hidden" r:id="rId2"/>
    <sheet name="项目名称" sheetId="85" r:id="rId3"/>
    <sheet name="Title Page" sheetId="82" r:id="rId4"/>
    <sheet name=" Mapping" sheetId="5" r:id="rId5"/>
    <sheet name="ChnConfig+Derating" sheetId="73" r:id="rId6"/>
    <sheet name="NTC" sheetId="72" r:id="rId7"/>
    <sheet name="data" sheetId="20" state="hidden" r:id="rId8"/>
    <sheet name="Rcod" sheetId="71" r:id="rId9"/>
    <sheet name="FANsetting" sheetId="70" r:id="rId10"/>
    <sheet name="MHL&amp;AHB" sheetId="74" r:id="rId11"/>
    <sheet name="WelGby Patten" sheetId="86" r:id="rId12"/>
    <sheet name="Light Control" sheetId="67" r:id="rId13"/>
    <sheet name="excel技巧" sheetId="84" state="hidden" r:id="rId14"/>
    <sheet name="Pictures" sheetId="60" r:id="rId15"/>
    <sheet name="Param Values" sheetId="75" r:id="rId16"/>
  </sheets>
  <externalReferences>
    <externalReference r:id="rId18"/>
    <externalReference r:id="rId19"/>
    <externalReference r:id="rId20"/>
    <externalReference r:id="rId21"/>
    <externalReference r:id="rId22"/>
    <externalReference r:id="rId23"/>
  </externalReferences>
  <definedNames>
    <definedName name="Author" localSheetId="3">#REF!</definedName>
    <definedName name="Author">#REF!</definedName>
    <definedName name="BOOLEAN">"TRUE,FALSE"</definedName>
    <definedName name="Confidentiality" localSheetId="3">#REF!</definedName>
    <definedName name="Confidentiality">#REF!</definedName>
    <definedName name="CRC_Type" localSheetId="15">[1]Options!$B$3:$B$6</definedName>
    <definedName name="CRC_Type" localSheetId="14">[2]Options!$B$3:$B$6</definedName>
    <definedName name="CRC_Type">[3]Options!$B$3:$B$6</definedName>
    <definedName name="CRC16Algos" localSheetId="15">[1]Options!$K$3:$K$21</definedName>
    <definedName name="CRC16Algos" localSheetId="14">[2]Options!$K$3:$K$21</definedName>
    <definedName name="CRC16Algos">[3]Options!$K$3:$K$21</definedName>
    <definedName name="CRC32Algos" localSheetId="15">[1]Options!$Y$3:$Y$11</definedName>
    <definedName name="CRC32Algos" localSheetId="14">[2]Options!$Y$3:$Y$11</definedName>
    <definedName name="CRC32Algos">[3]Options!$Y$3:$Y$11</definedName>
    <definedName name="CRC8Algos" localSheetId="15">[1]Options!$D$3:$D$9</definedName>
    <definedName name="CRC8Algos" localSheetId="14">[2]Options!$D$3:$D$9</definedName>
    <definedName name="CRC8Algos">[3]Options!$D$3:$D$9</definedName>
    <definedName name="list_byte_10" localSheetId="15">[1]Lists!$F$2:$F$257</definedName>
    <definedName name="list_byte_10" localSheetId="14">[2]Lists!$F$2:$F$257</definedName>
    <definedName name="list_byte_10">[3]Lists!$F$2:$F$257</definedName>
    <definedName name="list_byte_5" localSheetId="15">[1]Lists!$E$2:$E$257</definedName>
    <definedName name="list_byte_5" localSheetId="14">[2]Lists!$E$2:$E$257</definedName>
    <definedName name="list_byte_5">[3]Lists!$E$2:$E$257</definedName>
    <definedName name="list_DataType" localSheetId="15">[1]Settings!$G$20:$G$26</definedName>
    <definedName name="list_DataType" localSheetId="14">[2]Settings!$G$25:$G$31</definedName>
    <definedName name="list_DataType">[3]Settings!$G$25:$G$31</definedName>
    <definedName name="list_DrlPosTime" localSheetId="15">[1]Lists!$F$2:$F$52</definedName>
    <definedName name="list_DrlPosTime" localSheetId="14">[2]Lists!$F$2:$F$52</definedName>
    <definedName name="list_DrlPosTime">[3]Lists!$F$2:$F$52</definedName>
    <definedName name="list_Endianess" localSheetId="15">[1]Settings!$C$62:$C$63</definedName>
    <definedName name="list_Endianess" localSheetId="14">[2]Settings!$C$64:$C$65</definedName>
    <definedName name="list_Endianess">[3]Settings!$C$64:$C$65</definedName>
    <definedName name="list_FanPower" localSheetId="15">[1]Lists!$D$42:$D$202</definedName>
    <definedName name="list_FanPower" localSheetId="14">[2]Lists!$D$42:$D$202</definedName>
    <definedName name="list_FanPower">[3]Lists!$D$42:$D$202</definedName>
    <definedName name="list_Ihold" localSheetId="15">[1]Lists!$C$2:$C$17</definedName>
    <definedName name="list_Ihold" localSheetId="14">[2]Lists!$C$2:$C$17</definedName>
    <definedName name="list_Ihold">[3]Lists!$C$2:$C$17</definedName>
    <definedName name="list_Irun" localSheetId="15">[1]Lists!$B$2:$B$17</definedName>
    <definedName name="list_Irun" localSheetId="14">[2]Lists!$B$2:$B$17</definedName>
    <definedName name="list_Irun">[3]Lists!$B$2:$B$17</definedName>
    <definedName name="list_Opt" localSheetId="15">[1]Settings!$C$58:$C$59</definedName>
    <definedName name="list_Opt" localSheetId="14">[2]Settings!$C$60:$C$61</definedName>
    <definedName name="list_Opt">[3]Settings!$C$60:$C$61</definedName>
    <definedName name="list_PG" localSheetId="15">[1]Settings!$I$19:$I$26</definedName>
    <definedName name="list_PG" localSheetId="14">[2]Settings!$I$24:$I$40</definedName>
    <definedName name="list_PG">[3]Settings!$I$24:$I$40</definedName>
    <definedName name="list_Unit" localSheetId="15">[1]Settings!$C$20:$C$40</definedName>
    <definedName name="list_Unit" localSheetId="14">[2]Settings!$C$20:$C$40</definedName>
    <definedName name="list_Unit">[3]Settings!$C$20:$C$40</definedName>
    <definedName name="LMMPixel" localSheetId="15">[1]TPS!$T$5:$T$88</definedName>
    <definedName name="Microtype" localSheetId="15">[1]Settings!$C$66:$C$68</definedName>
    <definedName name="Microtype" localSheetId="14">[2]Settings!$C$68:$C$71</definedName>
    <definedName name="Microtype">[3]Settings!$C$68:$C$71</definedName>
    <definedName name="pFanControlPin" localSheetId="15">[1]Defines!$D$46:$D$48</definedName>
    <definedName name="pFanControlPin" localSheetId="14">[2]Defines!$D$45:$D$47</definedName>
    <definedName name="pFanControlPin">[3]Defines!$D$45:$D$47</definedName>
    <definedName name="pFanDefLightFct" localSheetId="15">[1]Defines!$D$80:$D$84</definedName>
    <definedName name="pFanDefLightFct" localSheetId="14">[2]Defines!$D$79:$D$83</definedName>
    <definedName name="pFanDefLightFct">[3]Defines!$D$79:$D$83</definedName>
    <definedName name="pFanDeiLightFct" localSheetId="15">[1]Defines!$D$85:$D$89</definedName>
    <definedName name="pFanDeiLightFct" localSheetId="14">[2]Defines!$D$84:$D$88</definedName>
    <definedName name="pFanDeiLightFct">[3]Defines!$D$84:$D$88</definedName>
    <definedName name="pFanDiagInputType" localSheetId="15">[1]Defines!$D$66:$D$71</definedName>
    <definedName name="pFanDiagInputType" localSheetId="14">[2]Defines!$D$66:$D$70</definedName>
    <definedName name="pFanDiagInputType">[3]Defines!$D$66:$D$70</definedName>
    <definedName name="pFanFaultSignal" localSheetId="15">[1]Defines!$D$49:$D$50</definedName>
    <definedName name="pFanFaultSignal" localSheetId="14">[2]Defines!$D$48:$D$49</definedName>
    <definedName name="pFanFaultSignal">[3]Defines!$D$48:$D$49</definedName>
    <definedName name="pFanNumber" localSheetId="15">[1]Defines!$D$43:$D$45</definedName>
    <definedName name="pFanNumber" localSheetId="14">[2]Defines!$D$42:$D$44</definedName>
    <definedName name="pFanNumber">[3]Defines!$D$42:$D$44</definedName>
    <definedName name="pFssRelFailSvlDflt" localSheetId="15">[1]Defines!$D$51:$D$52</definedName>
    <definedName name="pFssRelFailSvlDflt" localSheetId="14">[2]Defines!$D$50:$D$51</definedName>
    <definedName name="pFssRelFailSvlDflt">[3]Defines!$D$50:$D$51</definedName>
    <definedName name="pLedChToNtc" localSheetId="15">[1]Defines!$D$53:$D$59</definedName>
    <definedName name="pLedChToNtc" localSheetId="14">[2]Defines!$D$52:$D$58</definedName>
    <definedName name="pLedChToNtc">[3]Defines!$D$52:$D$58</definedName>
    <definedName name="pLedSeqTiHwl" localSheetId="15">[1]Defines!$D$20:$D$23</definedName>
    <definedName name="pLedSeqTiHwl" localSheetId="14">[2]Defines!$D$20:$D$23</definedName>
    <definedName name="pLedSeqTiHwl">[3]Defines!$D$20:$D$23</definedName>
    <definedName name="pLvlPolSeq" localSheetId="15">[1]Defines!$D$26:$D$27</definedName>
    <definedName name="pLvlPolSeq" localSheetId="14">[2]Defines!$D$25:$D$26</definedName>
    <definedName name="pLvlPolSeq">[3]Defines!$D$25:$D$26</definedName>
    <definedName name="pLvlStepMode" localSheetId="15">[1]Defines!$D$90:$D$93</definedName>
    <definedName name="pLvlStepMode" localSheetId="14">[2]Defines!$D$89:$D$92</definedName>
    <definedName name="pLvlStepMode">[3]Defines!$D$89:$D$92</definedName>
    <definedName name="pNtcType" localSheetId="15">[1]Defines!$D$60:$D$67</definedName>
    <definedName name="pNtcType" localSheetId="14">[2]Defines!$D$59:$D$65</definedName>
    <definedName name="pNtcType">[3]Defines!$D$59:$D$65</definedName>
    <definedName name="pSensorType" localSheetId="15">[1]Defines!$D$38:$D$42</definedName>
    <definedName name="pSensorType" localSheetId="14">[2]Defines!$D$37:$D$41</definedName>
    <definedName name="pSensorType">[3]Defines!$D$37:$D$41</definedName>
    <definedName name="pSvlPolSeq" localSheetId="15">[1]Defines!$D$30:$D$31</definedName>
    <definedName name="pSvlPolSeq" localSheetId="14">[2]Defines!$D$29:$D$30</definedName>
    <definedName name="pSvlPolSeq">[3]Defines!$D$29:$D$30</definedName>
    <definedName name="pSvlRefDirection" localSheetId="15">[1]Defines!$D$32:$D$33</definedName>
    <definedName name="pSvlRefDirection" localSheetId="14">[2]Defines!$D$31:$D$32</definedName>
    <definedName name="pSvlRefDirection">[3]Defines!$D$31:$D$32</definedName>
    <definedName name="pSvlSensorEdge" localSheetId="15">[1]Defines!$D$34:$D$35</definedName>
    <definedName name="pSvlSensorInv" localSheetId="15">[4]Define!$D$36:$D$37</definedName>
    <definedName name="pSvlStepMode" localSheetId="15">[1]Defines!$D$94:$D$97</definedName>
    <definedName name="pSvlStepMode" localSheetId="14">[2]Defines!$D$93:$D$96</definedName>
    <definedName name="pSvlStepMode">[3]Defines!$D$93:$D$96</definedName>
    <definedName name="Status_Information" localSheetId="3">#REF!</definedName>
    <definedName name="Status_Information">#REF!</definedName>
    <definedName name="Subject" localSheetId="3">#REF!</definedName>
    <definedName name="Subject">#REF!</definedName>
    <definedName name="Title" localSheetId="3">#REF!</definedName>
    <definedName name="Title">#REF!</definedName>
    <definedName name="ValueType" localSheetId="15">[1]Settings!$E$53:$E$54</definedName>
    <definedName name="ValueType" localSheetId="14">[2]Settings!$E$55:$E$56</definedName>
    <definedName name="ValueType">[3]Settings!$E$55:$E$56</definedName>
    <definedName name="Version" localSheetId="3">#REF!</definedName>
    <definedName name="Version">#REF!</definedName>
  </definedNames>
  <calcPr calcId="144525"/>
</workbook>
</file>

<file path=xl/comments1.xml><?xml version="1.0" encoding="utf-8"?>
<comments xmlns="http://schemas.openxmlformats.org/spreadsheetml/2006/main">
  <authors>
    <author>作者</author>
  </authors>
  <commentList>
    <comment ref="D8" authorId="0">
      <text>
        <r>
          <rPr>
            <sz val="9"/>
            <rFont val="宋体"/>
            <charset val="134"/>
          </rPr>
          <t>根据吉利提供的车型参数，填写的SWP1值</t>
        </r>
      </text>
    </comment>
    <comment ref="D9" authorId="0">
      <text>
        <r>
          <rPr>
            <sz val="9"/>
            <rFont val="宋体"/>
            <charset val="134"/>
          </rPr>
          <t>根据吉利提供的车型参数，填写的SWP1值</t>
        </r>
      </text>
    </comment>
  </commentList>
</comments>
</file>

<file path=xl/comments2.xml><?xml version="1.0" encoding="utf-8"?>
<comments xmlns="http://schemas.openxmlformats.org/spreadsheetml/2006/main">
  <authors>
    <author>作者</author>
  </authors>
  <commentList>
    <comment ref="B9" authorId="0">
      <text>
        <r>
          <rPr>
            <sz val="9"/>
            <rFont val="宋体"/>
            <charset val="134"/>
          </rPr>
          <t>Maximum power output on LED channel, average power for matrix channels.</t>
        </r>
      </text>
    </comment>
    <comment ref="B10" authorId="0">
      <text>
        <r>
          <rPr>
            <sz val="9"/>
            <rFont val="宋体"/>
            <charset val="134"/>
          </rPr>
          <t>Derating: below this LED channel temperature output power level shall be pLedDerPwrA
See picture "LED Temperature derating" in sheet "Pictures"</t>
        </r>
      </text>
    </comment>
    <comment ref="B15" authorId="0">
      <text>
        <r>
          <rPr>
            <sz val="9"/>
            <rFont val="宋体"/>
            <charset val="134"/>
          </rPr>
          <t>Derating: output current level for temperatures below pLedDerTemp1</t>
        </r>
      </text>
    </comment>
    <comment ref="B19" authorId="0">
      <text>
        <r>
          <rPr>
            <sz val="9"/>
            <rFont val="宋体"/>
            <charset val="134"/>
          </rPr>
          <t>Open circuit threshold for HSD</t>
        </r>
      </text>
    </comment>
    <comment ref="B20" authorId="0">
      <text>
        <r>
          <rPr>
            <sz val="9"/>
            <rFont val="宋体"/>
            <charset val="134"/>
          </rPr>
          <t>short to ground threshold for HSD</t>
        </r>
      </text>
    </comment>
  </commentList>
</comments>
</file>

<file path=xl/comments3.xml><?xml version="1.0" encoding="utf-8"?>
<comments xmlns="http://schemas.openxmlformats.org/spreadsheetml/2006/main">
  <authors>
    <author>Administrator</author>
    <author>Liang, Wenqiang</author>
  </authors>
  <commentList>
    <comment ref="B2" authorId="0">
      <text>
        <r>
          <rPr>
            <b/>
            <sz val="9"/>
            <rFont val="宋体"/>
            <charset val="134"/>
          </rPr>
          <t>This shows the meanings of values the parameter pNtcType#N may have.
Parameter pNtcType#N shall take one of defined values.
(pNtcType#n - 1) may be the first index of the pNtcIndTemp#Z#V.
N = 0 &lt;=&gt; NTC 1
...
N = 4 &lt;=&gt; NTC 5
Type6 is matrix NTC1, Type 7 is matrix NTC2</t>
        </r>
        <r>
          <rPr>
            <sz val="9"/>
            <rFont val="宋体"/>
            <charset val="134"/>
          </rPr>
          <t xml:space="preserve">
</t>
        </r>
      </text>
    </comment>
    <comment ref="C12" authorId="1">
      <text>
        <r>
          <rPr>
            <b/>
            <sz val="9"/>
            <rFont val="Tahoma"/>
            <charset val="134"/>
          </rPr>
          <t>Liang, Wenqiang:</t>
        </r>
        <r>
          <rPr>
            <sz val="9"/>
            <rFont val="Tahoma"/>
            <charset val="134"/>
          </rPr>
          <t xml:space="preserve">
ATTENTION: NTC readings above 290 k</t>
        </r>
        <r>
          <rPr>
            <sz val="9"/>
            <rFont val="Malgun Gothic Semilight"/>
            <charset val="134"/>
          </rPr>
          <t>Ω</t>
        </r>
        <r>
          <rPr>
            <sz val="9"/>
            <rFont val="Tahoma"/>
            <charset val="134"/>
          </rPr>
          <t xml:space="preserve"> are treated as Open Circuit!</t>
        </r>
      </text>
    </comment>
    <comment ref="C171" authorId="1">
      <text>
        <r>
          <rPr>
            <b/>
            <sz val="9"/>
            <rFont val="Tahoma"/>
            <charset val="134"/>
          </rPr>
          <t>Liang, Wenqiang:</t>
        </r>
        <r>
          <rPr>
            <sz val="9"/>
            <rFont val="Tahoma"/>
            <charset val="134"/>
          </rPr>
          <t xml:space="preserve">
ATTENTION: NTC readings below 250 </t>
        </r>
        <r>
          <rPr>
            <sz val="9"/>
            <rFont val="Malgun Gothic Semilight"/>
            <charset val="134"/>
          </rPr>
          <t>Ω</t>
        </r>
        <r>
          <rPr>
            <sz val="9"/>
            <rFont val="Tahoma"/>
            <charset val="134"/>
          </rPr>
          <t xml:space="preserve"> are treated as Short to GND!</t>
        </r>
      </text>
    </comment>
  </commentList>
</comments>
</file>

<file path=xl/comments4.xml><?xml version="1.0" encoding="utf-8"?>
<comments xmlns="http://schemas.openxmlformats.org/spreadsheetml/2006/main">
  <authors>
    <author>陈春建</author>
  </authors>
  <commentList>
    <comment ref="B4" authorId="0">
      <text>
        <r>
          <rPr>
            <b/>
            <sz val="9"/>
            <rFont val="宋体"/>
            <charset val="134"/>
          </rPr>
          <t xml:space="preserve">AHL选择参数
</t>
        </r>
        <r>
          <rPr>
            <sz val="9"/>
            <rFont val="宋体"/>
            <charset val="134"/>
          </rPr>
          <t xml:space="preserve">
</t>
        </r>
      </text>
    </comment>
    <comment ref="B5" authorId="0">
      <text>
        <r>
          <rPr>
            <b/>
            <sz val="9"/>
            <rFont val="宋体"/>
            <charset val="134"/>
          </rPr>
          <t>AHB/AHB2/ADB选择参数</t>
        </r>
        <r>
          <rPr>
            <sz val="9"/>
            <rFont val="宋体"/>
            <charset val="134"/>
          </rPr>
          <t xml:space="preserve">
</t>
        </r>
      </text>
    </comment>
  </commentList>
</comments>
</file>

<file path=xl/sharedStrings.xml><?xml version="1.0" encoding="utf-8"?>
<sst xmlns="http://schemas.openxmlformats.org/spreadsheetml/2006/main" count="1742" uniqueCount="895">
  <si>
    <t>Template Change History</t>
  </si>
  <si>
    <t>Version</t>
  </si>
  <si>
    <t>Description of change</t>
  </si>
  <si>
    <t>Status</t>
  </si>
  <si>
    <t>Date</t>
  </si>
  <si>
    <t>Review</t>
  </si>
  <si>
    <t>Author</t>
  </si>
  <si>
    <t>Initial Create of template</t>
  </si>
  <si>
    <t>Draft</t>
  </si>
  <si>
    <t>2024.11.13</t>
  </si>
  <si>
    <t>Chen chunjian</t>
  </si>
  <si>
    <t>v1.2</t>
  </si>
  <si>
    <r>
      <rPr>
        <sz val="10"/>
        <rFont val="Arial"/>
        <charset val="134"/>
      </rPr>
      <t>1. NTC</t>
    </r>
    <r>
      <rPr>
        <sz val="10"/>
        <rFont val="宋体"/>
        <charset val="134"/>
      </rPr>
      <t>页，删除NTCType3，</t>
    </r>
    <r>
      <rPr>
        <sz val="10"/>
        <rFont val="Arial"/>
        <charset val="134"/>
      </rPr>
      <t>NTCType4</t>
    </r>
    <r>
      <rPr>
        <sz val="10"/>
        <rFont val="宋体"/>
        <charset val="134"/>
      </rPr>
      <t>，</t>
    </r>
    <r>
      <rPr>
        <sz val="10"/>
        <rFont val="Arial"/>
        <charset val="134"/>
      </rPr>
      <t>NTCType5</t>
    </r>
    <r>
      <rPr>
        <sz val="10"/>
        <rFont val="宋体"/>
        <charset val="134"/>
      </rPr>
      <t>；</t>
    </r>
    <r>
      <rPr>
        <sz val="10"/>
        <rFont val="Arial"/>
        <charset val="134"/>
      </rPr>
      <t xml:space="preserve">
2. NTC</t>
    </r>
    <r>
      <rPr>
        <sz val="10"/>
        <rFont val="宋体"/>
        <charset val="134"/>
      </rPr>
      <t>页，删除</t>
    </r>
    <r>
      <rPr>
        <sz val="10"/>
        <rFont val="Arial"/>
        <charset val="134"/>
      </rPr>
      <t>30</t>
    </r>
    <r>
      <rPr>
        <sz val="10"/>
        <rFont val="宋体"/>
        <charset val="134"/>
      </rPr>
      <t>℃</t>
    </r>
    <r>
      <rPr>
        <sz val="10"/>
        <rFont val="Arial"/>
        <charset val="134"/>
      </rPr>
      <t>-70</t>
    </r>
    <r>
      <rPr>
        <sz val="10"/>
        <rFont val="宋体"/>
        <charset val="134"/>
      </rPr>
      <t>℃之间的数据；</t>
    </r>
    <r>
      <rPr>
        <sz val="10"/>
        <rFont val="Arial"/>
        <charset val="134"/>
      </rPr>
      <t xml:space="preserve">
3. FANsetting</t>
    </r>
    <r>
      <rPr>
        <sz val="10"/>
        <rFont val="宋体"/>
        <charset val="134"/>
      </rPr>
      <t>页，新增</t>
    </r>
    <r>
      <rPr>
        <sz val="10"/>
        <rFont val="Arial"/>
        <charset val="134"/>
      </rPr>
      <t>pFanNumber</t>
    </r>
    <r>
      <rPr>
        <sz val="10"/>
        <rFont val="宋体"/>
        <charset val="134"/>
      </rPr>
      <t>参数，默认是</t>
    </r>
    <r>
      <rPr>
        <sz val="10"/>
        <rFont val="Arial"/>
        <charset val="134"/>
      </rPr>
      <t>1</t>
    </r>
    <r>
      <rPr>
        <sz val="10"/>
        <rFont val="宋体"/>
        <charset val="134"/>
      </rPr>
      <t>；</t>
    </r>
    <r>
      <rPr>
        <sz val="10"/>
        <rFont val="Arial"/>
        <charset val="134"/>
      </rPr>
      <t xml:space="preserve">
4. FANsetting</t>
    </r>
    <r>
      <rPr>
        <sz val="10"/>
        <rFont val="宋体"/>
        <charset val="134"/>
      </rPr>
      <t>页，新增</t>
    </r>
    <r>
      <rPr>
        <sz val="10"/>
        <rFont val="Arial"/>
        <charset val="134"/>
      </rPr>
      <t>pFanControlPin</t>
    </r>
    <r>
      <rPr>
        <sz val="10"/>
        <rFont val="宋体"/>
        <charset val="134"/>
      </rPr>
      <t>参数，默认是</t>
    </r>
    <r>
      <rPr>
        <sz val="10"/>
        <rFont val="Arial"/>
        <charset val="134"/>
      </rPr>
      <t>1</t>
    </r>
    <r>
      <rPr>
        <sz val="10"/>
        <rFont val="宋体"/>
        <charset val="134"/>
      </rPr>
      <t>；</t>
    </r>
    <r>
      <rPr>
        <sz val="10"/>
        <rFont val="Arial"/>
        <charset val="134"/>
      </rPr>
      <t xml:space="preserve">
5. FANsetting</t>
    </r>
    <r>
      <rPr>
        <sz val="10"/>
        <rFont val="宋体"/>
        <charset val="134"/>
      </rPr>
      <t>页，新增</t>
    </r>
    <r>
      <rPr>
        <sz val="10"/>
        <rFont val="Arial"/>
        <charset val="134"/>
      </rPr>
      <t>pFanDiagInputType</t>
    </r>
    <r>
      <rPr>
        <sz val="10"/>
        <rFont val="宋体"/>
        <charset val="134"/>
      </rPr>
      <t>参数，默认是</t>
    </r>
    <r>
      <rPr>
        <sz val="10"/>
        <rFont val="Arial"/>
        <charset val="134"/>
      </rPr>
      <t>1</t>
    </r>
    <r>
      <rPr>
        <sz val="10"/>
        <rFont val="宋体"/>
        <charset val="134"/>
      </rPr>
      <t>；</t>
    </r>
    <r>
      <rPr>
        <sz val="10"/>
        <rFont val="Arial"/>
        <charset val="134"/>
      </rPr>
      <t xml:space="preserve">
6. Light Control</t>
    </r>
    <r>
      <rPr>
        <sz val="10"/>
        <rFont val="宋体"/>
        <charset val="134"/>
      </rPr>
      <t>页，</t>
    </r>
    <r>
      <rPr>
        <sz val="10"/>
        <rFont val="Arial"/>
        <charset val="134"/>
      </rPr>
      <t>pWelGbytyp</t>
    </r>
    <r>
      <rPr>
        <sz val="10"/>
        <rFont val="宋体"/>
        <charset val="134"/>
      </rPr>
      <t>默认为</t>
    </r>
    <r>
      <rPr>
        <sz val="10"/>
        <rFont val="Arial"/>
        <charset val="134"/>
      </rPr>
      <t>0-No animation</t>
    </r>
    <r>
      <rPr>
        <sz val="10"/>
        <rFont val="宋体"/>
        <charset val="134"/>
      </rPr>
      <t>；</t>
    </r>
    <r>
      <rPr>
        <sz val="10"/>
        <rFont val="Arial"/>
        <charset val="134"/>
      </rPr>
      <t xml:space="preserve">
7. Light Control</t>
    </r>
    <r>
      <rPr>
        <sz val="10"/>
        <rFont val="宋体"/>
        <charset val="134"/>
      </rPr>
      <t>页，新增参数</t>
    </r>
    <r>
      <rPr>
        <sz val="10"/>
        <rFont val="Arial"/>
        <charset val="134"/>
      </rPr>
      <t>pLEDPosDRLType</t>
    </r>
    <r>
      <rPr>
        <sz val="10"/>
        <rFont val="宋体"/>
        <charset val="134"/>
      </rPr>
      <t>，默认是</t>
    </r>
    <r>
      <rPr>
        <sz val="10"/>
        <rFont val="Arial"/>
        <charset val="134"/>
      </rPr>
      <t>0</t>
    </r>
    <r>
      <rPr>
        <sz val="10"/>
        <rFont val="宋体"/>
        <charset val="134"/>
      </rPr>
      <t>；</t>
    </r>
    <r>
      <rPr>
        <sz val="10"/>
        <rFont val="Arial"/>
        <charset val="134"/>
      </rPr>
      <t xml:space="preserve">
8. Light Control</t>
    </r>
    <r>
      <rPr>
        <sz val="10"/>
        <rFont val="宋体"/>
        <charset val="134"/>
      </rPr>
      <t>页，新增参数</t>
    </r>
    <r>
      <rPr>
        <sz val="10"/>
        <rFont val="Arial"/>
        <charset val="134"/>
      </rPr>
      <t>pFssLostComTime</t>
    </r>
    <r>
      <rPr>
        <sz val="10"/>
        <rFont val="宋体"/>
        <charset val="134"/>
      </rPr>
      <t>，默认是</t>
    </r>
    <r>
      <rPr>
        <sz val="10"/>
        <rFont val="Arial"/>
        <charset val="134"/>
      </rPr>
      <t>500ms</t>
    </r>
    <r>
      <rPr>
        <sz val="10"/>
        <rFont val="宋体"/>
        <charset val="134"/>
      </rPr>
      <t>；</t>
    </r>
    <r>
      <rPr>
        <sz val="10"/>
        <rFont val="Arial"/>
        <charset val="134"/>
      </rPr>
      <t xml:space="preserve">
9. Light Control</t>
    </r>
    <r>
      <rPr>
        <sz val="10"/>
        <rFont val="宋体"/>
        <charset val="134"/>
      </rPr>
      <t>页，新增参数</t>
    </r>
    <r>
      <rPr>
        <sz val="10"/>
        <rFont val="Arial"/>
        <charset val="134"/>
      </rPr>
      <t>pFrntCrossAvl</t>
    </r>
    <r>
      <rPr>
        <sz val="10"/>
        <rFont val="宋体"/>
        <charset val="134"/>
      </rPr>
      <t>，默认是</t>
    </r>
    <r>
      <rPr>
        <sz val="10"/>
        <rFont val="Arial"/>
        <charset val="134"/>
      </rPr>
      <t>3</t>
    </r>
    <r>
      <rPr>
        <sz val="10"/>
        <rFont val="宋体"/>
        <charset val="134"/>
      </rPr>
      <t>；</t>
    </r>
    <r>
      <rPr>
        <sz val="10"/>
        <rFont val="Arial"/>
        <charset val="134"/>
      </rPr>
      <t xml:space="preserve">
10. Light Control</t>
    </r>
    <r>
      <rPr>
        <sz val="10"/>
        <rFont val="宋体"/>
        <charset val="134"/>
      </rPr>
      <t>页，新增参数</t>
    </r>
    <r>
      <rPr>
        <sz val="10"/>
        <rFont val="Arial"/>
        <charset val="134"/>
      </rPr>
      <t>pGrilleAvl</t>
    </r>
    <r>
      <rPr>
        <sz val="10"/>
        <rFont val="宋体"/>
        <charset val="134"/>
      </rPr>
      <t>，默认是</t>
    </r>
    <r>
      <rPr>
        <sz val="10"/>
        <rFont val="Arial"/>
        <charset val="134"/>
      </rPr>
      <t>3</t>
    </r>
    <r>
      <rPr>
        <sz val="10"/>
        <rFont val="宋体"/>
        <charset val="134"/>
      </rPr>
      <t>；</t>
    </r>
    <r>
      <rPr>
        <sz val="10"/>
        <rFont val="Arial"/>
        <charset val="134"/>
      </rPr>
      <t xml:space="preserve">
11. Light Control</t>
    </r>
    <r>
      <rPr>
        <sz val="10"/>
        <rFont val="宋体"/>
        <charset val="134"/>
      </rPr>
      <t>页，新增参数</t>
    </r>
    <r>
      <rPr>
        <sz val="10"/>
        <rFont val="Arial"/>
        <charset val="134"/>
      </rPr>
      <t>pLedGamma</t>
    </r>
    <r>
      <rPr>
        <sz val="10"/>
        <rFont val="宋体"/>
        <charset val="134"/>
      </rPr>
      <t>，默认是</t>
    </r>
    <r>
      <rPr>
        <sz val="10"/>
        <rFont val="Arial"/>
        <charset val="134"/>
      </rPr>
      <t>1</t>
    </r>
    <r>
      <rPr>
        <sz val="10"/>
        <rFont val="宋体"/>
        <charset val="134"/>
      </rPr>
      <t>；</t>
    </r>
    <r>
      <rPr>
        <sz val="10"/>
        <rFont val="Arial"/>
        <charset val="134"/>
      </rPr>
      <t xml:space="preserve">
12. WelGby Patten</t>
    </r>
    <r>
      <rPr>
        <sz val="10"/>
        <rFont val="宋体"/>
        <charset val="134"/>
      </rPr>
      <t>页改为Dynamic Position Light；</t>
    </r>
  </si>
  <si>
    <t>2025.01.06</t>
  </si>
  <si>
    <t>Tang, Lei</t>
  </si>
  <si>
    <t>v1.3</t>
  </si>
  <si>
    <t>1. 近光灯改到CH1'；</t>
  </si>
  <si>
    <t>2025.02.10</t>
  </si>
  <si>
    <t>V1.4</t>
  </si>
  <si>
    <t>1. NTC1对应到CH1 Tap
2. Light Control页添加参数pLegalRequirement</t>
  </si>
  <si>
    <t>2025.02.25</t>
  </si>
  <si>
    <t>V1.5</t>
  </si>
  <si>
    <t>1、【Mapping】
1.1 CH1Tap改为CH1ByP
1.2 增ADS灯选择，Channel控制或者HSD控制
1.3 增加ADS和转向灯、ADS和位置灯、ADS和日行灯等共用发光面设置
2、【Light Control】
2.1 辅助灯和ADS灯的渐亮渐灭、延时开灯和延时关灯参数
2.2 ADS灯在channel控制时的两种亮度设置
3、【WelGby Patten】
OffsTiPm和ConTiPrm，降10倍处理，10ms=1,2550ms=255</t>
  </si>
  <si>
    <t>2025.04.21</t>
  </si>
  <si>
    <t>3、【Light Control】增加【环境温度补偿Amb_Temp_Compensation】</t>
  </si>
  <si>
    <t>Released</t>
  </si>
  <si>
    <t>2025.04.22</t>
  </si>
  <si>
    <t>V1.6</t>
  </si>
  <si>
    <t>1、【Title Page】
1.1增加【Project Phase】
1.2增加【CfgPrm Usage】：0 NORMAL；1 EOL；2 Hard_TEST；
2、【Mapping】位置灯/日行灯增加HW_OUT1/HW_OUT2
3、【Light Control】增加HW_OUT1/HW_OUT2的频率设置和星空灯使能
4、【WelGby Patten】增加HW_OUT1/HW_OUT2的占空比设置</t>
  </si>
  <si>
    <t>2025.05.13</t>
  </si>
  <si>
    <t>V1.7</t>
  </si>
  <si>
    <t>1、【ChnConfig+Derating】删除HW-OUT1和HW-OUT2的故障诊断</t>
  </si>
  <si>
    <t>2025.08.13</t>
  </si>
  <si>
    <t>Huang ya qiao</t>
  </si>
  <si>
    <t>V1.8</t>
  </si>
  <si>
    <t>1、【 Mapping】中增加CH1Bypass的通道映射，增加位置灯和日行灯，用于开关切换
2、【Light Control】增加pBypassFunctionDefinition参数，判定CH1Bypass的功能作用</t>
  </si>
  <si>
    <t>2025.12.09</t>
  </si>
  <si>
    <t>Document Change history</t>
  </si>
  <si>
    <t>Initial Create</t>
  </si>
  <si>
    <t>2025.10.11</t>
  </si>
  <si>
    <t>Chen Chunjian</t>
  </si>
  <si>
    <t>1、【MHL&amp;AHB】修改ManLvlDCPos1~5的值</t>
  </si>
  <si>
    <t>2025.11.24</t>
  </si>
  <si>
    <t>Huangyaqiao</t>
  </si>
  <si>
    <t>1、 【Mapping】删除CH1bypass通道的远光，将CH3更改为远光
2、【ChnConfig+Derating】CH1近光灯的电流变更为1150mA，CH3的电压阈值更改为20V，电流设置为1100mA，CH4的电压设置为50V，电流设置为400mA，功率设置为20W，将CH1Bypass DISABLE
3、 【NTC】CH1_ByP的NTC通道设置为0，CH3的NTC通道为1
4、【WelGby Patten】参数修改，CH2和CH4的参数变更</t>
  </si>
  <si>
    <t>2025.12.6</t>
  </si>
  <si>
    <t>1、 【 Mapping】 CH1Bypass设置的功能为Daytime Running Light (DRL)
和Position Light (PoLi)
2、【ChnConfig+Derating】CH1Bypass 使能打开
3、【Light Control】pBypassFunctionDefinition的参数设置为1
4、【WelGby Patten】welcome和goodbye参数变更，回归到11-24版本</t>
  </si>
  <si>
    <t>2025.12.10</t>
  </si>
  <si>
    <t>1、【WelGby Patten】修改为提交报告的那一版12-18</t>
  </si>
  <si>
    <t>2025.12.22</t>
  </si>
  <si>
    <r>
      <t>1</t>
    </r>
    <r>
      <rPr>
        <sz val="10"/>
        <rFont val="宋体"/>
        <charset val="134"/>
      </rPr>
      <t>、【</t>
    </r>
    <r>
      <rPr>
        <sz val="10"/>
        <rFont val="Arial"/>
        <charset val="134"/>
      </rPr>
      <t xml:space="preserve"> Mapping</t>
    </r>
    <r>
      <rPr>
        <sz val="10"/>
        <rFont val="宋体"/>
        <charset val="134"/>
      </rPr>
      <t>】</t>
    </r>
    <r>
      <rPr>
        <sz val="10"/>
        <rFont val="Arial"/>
        <charset val="134"/>
      </rPr>
      <t xml:space="preserve"> CH1Bypass</t>
    </r>
    <r>
      <rPr>
        <sz val="10"/>
        <rFont val="宋体"/>
        <charset val="134"/>
      </rPr>
      <t>设置的功能为远光灯、</t>
    </r>
    <r>
      <rPr>
        <sz val="10"/>
        <rFont val="Arial"/>
        <charset val="134"/>
      </rPr>
      <t>CH3</t>
    </r>
    <r>
      <rPr>
        <sz val="10"/>
        <rFont val="宋体"/>
        <charset val="134"/>
      </rPr>
      <t xml:space="preserve">设置为日行和位置灯功能
</t>
    </r>
    <r>
      <rPr>
        <sz val="10"/>
        <rFont val="Arial"/>
        <charset val="134"/>
      </rPr>
      <t>2</t>
    </r>
    <r>
      <rPr>
        <sz val="10"/>
        <rFont val="宋体"/>
        <charset val="134"/>
      </rPr>
      <t>、【</t>
    </r>
    <r>
      <rPr>
        <sz val="10"/>
        <rFont val="Arial"/>
        <charset val="134"/>
      </rPr>
      <t>ChnConfig+Derating</t>
    </r>
    <r>
      <rPr>
        <sz val="10"/>
        <rFont val="宋体"/>
        <charset val="134"/>
      </rPr>
      <t>】</t>
    </r>
    <r>
      <rPr>
        <sz val="10"/>
        <rFont val="Arial"/>
        <charset val="134"/>
      </rPr>
      <t>CH1</t>
    </r>
    <r>
      <rPr>
        <sz val="10"/>
        <rFont val="宋体"/>
        <charset val="134"/>
      </rPr>
      <t>电流为</t>
    </r>
    <r>
      <rPr>
        <sz val="10"/>
        <rFont val="Arial"/>
        <charset val="134"/>
      </rPr>
      <t>1150</t>
    </r>
    <r>
      <rPr>
        <sz val="10"/>
        <rFont val="宋体"/>
        <charset val="134"/>
      </rPr>
      <t>，</t>
    </r>
    <r>
      <rPr>
        <sz val="10"/>
        <rFont val="Arial"/>
        <charset val="134"/>
      </rPr>
      <t>CH2</t>
    </r>
    <r>
      <rPr>
        <sz val="10"/>
        <rFont val="宋体"/>
        <charset val="134"/>
      </rPr>
      <t>电流为</t>
    </r>
    <r>
      <rPr>
        <sz val="10"/>
        <rFont val="Arial"/>
        <charset val="134"/>
      </rPr>
      <t>1100mA</t>
    </r>
    <r>
      <rPr>
        <sz val="10"/>
        <rFont val="宋体"/>
        <charset val="134"/>
      </rPr>
      <t>，欠压阈值与</t>
    </r>
    <r>
      <rPr>
        <sz val="10"/>
        <rFont val="Arial"/>
        <charset val="134"/>
      </rPr>
      <t>20V</t>
    </r>
    <r>
      <rPr>
        <sz val="10"/>
        <rFont val="宋体"/>
        <charset val="134"/>
      </rPr>
      <t>，</t>
    </r>
    <r>
      <rPr>
        <sz val="10"/>
        <rFont val="Arial"/>
        <charset val="134"/>
      </rPr>
      <t>CH3</t>
    </r>
    <r>
      <rPr>
        <sz val="10"/>
        <rFont val="宋体"/>
        <charset val="134"/>
      </rPr>
      <t>电流变更为</t>
    </r>
    <r>
      <rPr>
        <sz val="10"/>
        <rFont val="Arial"/>
        <charset val="134"/>
      </rPr>
      <t>200mA</t>
    </r>
    <r>
      <rPr>
        <sz val="10"/>
        <rFont val="宋体"/>
        <charset val="134"/>
      </rPr>
      <t>，</t>
    </r>
    <r>
      <rPr>
        <sz val="10"/>
        <rFont val="Arial"/>
        <charset val="134"/>
      </rPr>
      <t>CH4</t>
    </r>
    <r>
      <rPr>
        <sz val="10"/>
        <rFont val="宋体"/>
        <charset val="134"/>
      </rPr>
      <t>电流变更为</t>
    </r>
    <r>
      <rPr>
        <sz val="10"/>
        <rFont val="Arial"/>
        <charset val="134"/>
      </rPr>
      <t>450mA</t>
    </r>
    <r>
      <rPr>
        <sz val="10"/>
        <rFont val="宋体"/>
        <charset val="134"/>
      </rPr>
      <t>，</t>
    </r>
    <r>
      <rPr>
        <sz val="10"/>
        <rFont val="Arial"/>
        <charset val="134"/>
      </rPr>
      <t>CH2</t>
    </r>
    <r>
      <rPr>
        <sz val="10"/>
        <rFont val="宋体"/>
        <charset val="134"/>
      </rPr>
      <t>和</t>
    </r>
    <r>
      <rPr>
        <sz val="10"/>
        <rFont val="Arial"/>
        <charset val="134"/>
      </rPr>
      <t>CH2'</t>
    </r>
    <r>
      <rPr>
        <sz val="10"/>
        <rFont val="宋体"/>
        <charset val="134"/>
      </rPr>
      <t>的欠压阈值为</t>
    </r>
    <r>
      <rPr>
        <sz val="10"/>
        <rFont val="Arial"/>
        <charset val="134"/>
      </rPr>
      <t>5V
3</t>
    </r>
    <r>
      <rPr>
        <sz val="10"/>
        <rFont val="宋体"/>
        <charset val="134"/>
      </rPr>
      <t>、</t>
    </r>
    <r>
      <rPr>
        <sz val="10"/>
        <rFont val="Arial"/>
        <charset val="134"/>
      </rPr>
      <t xml:space="preserve"> </t>
    </r>
    <r>
      <rPr>
        <sz val="10"/>
        <rFont val="宋体"/>
        <charset val="134"/>
      </rPr>
      <t>【</t>
    </r>
    <r>
      <rPr>
        <sz val="10"/>
        <rFont val="Arial"/>
        <charset val="134"/>
      </rPr>
      <t>NTC</t>
    </r>
    <r>
      <rPr>
        <sz val="10"/>
        <rFont val="宋体"/>
        <charset val="134"/>
      </rPr>
      <t>】</t>
    </r>
    <r>
      <rPr>
        <sz val="10"/>
        <rFont val="Arial"/>
        <charset val="134"/>
      </rPr>
      <t>CH1_ByP</t>
    </r>
    <r>
      <rPr>
        <sz val="10"/>
        <rFont val="宋体"/>
        <charset val="134"/>
      </rPr>
      <t>的</t>
    </r>
    <r>
      <rPr>
        <sz val="10"/>
        <rFont val="Arial"/>
        <charset val="134"/>
      </rPr>
      <t>NTC</t>
    </r>
    <r>
      <rPr>
        <sz val="10"/>
        <rFont val="宋体"/>
        <charset val="134"/>
      </rPr>
      <t>通道设置为</t>
    </r>
    <r>
      <rPr>
        <sz val="10"/>
        <rFont val="Arial"/>
        <charset val="134"/>
      </rPr>
      <t>1</t>
    </r>
    <r>
      <rPr>
        <sz val="10"/>
        <rFont val="宋体"/>
        <charset val="134"/>
      </rPr>
      <t>，</t>
    </r>
    <r>
      <rPr>
        <sz val="10"/>
        <rFont val="Arial"/>
        <charset val="134"/>
      </rPr>
      <t>CH3</t>
    </r>
    <r>
      <rPr>
        <sz val="10"/>
        <rFont val="宋体"/>
        <charset val="134"/>
      </rPr>
      <t>的</t>
    </r>
    <r>
      <rPr>
        <sz val="10"/>
        <rFont val="Arial"/>
        <charset val="134"/>
      </rPr>
      <t>NTC</t>
    </r>
    <r>
      <rPr>
        <sz val="10"/>
        <rFont val="宋体"/>
        <charset val="134"/>
      </rPr>
      <t>通道为</t>
    </r>
    <r>
      <rPr>
        <sz val="10"/>
        <rFont val="Arial"/>
        <charset val="134"/>
      </rPr>
      <t>5
4</t>
    </r>
    <r>
      <rPr>
        <sz val="10"/>
        <rFont val="宋体"/>
        <charset val="134"/>
      </rPr>
      <t>、【</t>
    </r>
    <r>
      <rPr>
        <sz val="10"/>
        <rFont val="Arial"/>
        <charset val="134"/>
      </rPr>
      <t>WelGby Patten</t>
    </r>
    <r>
      <rPr>
        <sz val="10"/>
        <rFont val="宋体"/>
        <charset val="134"/>
      </rPr>
      <t>】参数修改，</t>
    </r>
    <r>
      <rPr>
        <sz val="10"/>
        <rFont val="Arial"/>
        <charset val="134"/>
      </rPr>
      <t>Bypass</t>
    </r>
    <r>
      <rPr>
        <sz val="10"/>
        <rFont val="宋体"/>
        <charset val="134"/>
      </rPr>
      <t>、</t>
    </r>
    <r>
      <rPr>
        <sz val="10"/>
        <rFont val="Arial"/>
        <charset val="134"/>
      </rPr>
      <t>CH3</t>
    </r>
    <r>
      <rPr>
        <sz val="10"/>
        <rFont val="宋体"/>
        <charset val="134"/>
      </rPr>
      <t>和</t>
    </r>
    <r>
      <rPr>
        <sz val="10"/>
        <rFont val="Arial"/>
        <charset val="134"/>
      </rPr>
      <t>CH4</t>
    </r>
    <r>
      <rPr>
        <sz val="10"/>
        <rFont val="宋体"/>
        <charset val="134"/>
      </rPr>
      <t>的参数变更</t>
    </r>
  </si>
  <si>
    <t>2025.12.24</t>
  </si>
  <si>
    <t>版本控制</t>
  </si>
  <si>
    <r>
      <rPr>
        <sz val="11"/>
        <rFont val="宋体"/>
        <charset val="134"/>
      </rPr>
      <t>版本编号由两层数字构成</t>
    </r>
    <r>
      <rPr>
        <sz val="11"/>
        <rFont val="Arial"/>
        <charset val="134"/>
      </rPr>
      <t>N1.N2</t>
    </r>
    <r>
      <rPr>
        <sz val="11"/>
        <rFont val="宋体"/>
        <charset val="134"/>
      </rPr>
      <t>，</t>
    </r>
    <r>
      <rPr>
        <sz val="11"/>
        <rFont val="Arial"/>
        <charset val="134"/>
      </rPr>
      <t>N1</t>
    </r>
    <r>
      <rPr>
        <sz val="11"/>
        <rFont val="宋体"/>
        <charset val="134"/>
      </rPr>
      <t>代表发布版本，</t>
    </r>
    <r>
      <rPr>
        <sz val="11"/>
        <rFont val="Arial"/>
        <charset val="134"/>
      </rPr>
      <t>N2</t>
    </r>
    <r>
      <rPr>
        <sz val="11"/>
        <rFont val="宋体"/>
        <charset val="134"/>
      </rPr>
      <t xml:space="preserve">代表临时讨论版本：
</t>
    </r>
    <r>
      <rPr>
        <sz val="11"/>
        <rFont val="Arial"/>
        <charset val="134"/>
      </rPr>
      <t>N1</t>
    </r>
    <r>
      <rPr>
        <sz val="11"/>
        <rFont val="宋体"/>
        <charset val="134"/>
      </rPr>
      <t>：从</t>
    </r>
    <r>
      <rPr>
        <sz val="11"/>
        <rFont val="Arial"/>
        <charset val="134"/>
      </rPr>
      <t>0</t>
    </r>
    <r>
      <rPr>
        <sz val="11"/>
        <rFont val="宋体"/>
        <charset val="134"/>
      </rPr>
      <t>开始，每次正式发布后</t>
    </r>
    <r>
      <rPr>
        <sz val="11"/>
        <rFont val="Arial"/>
        <charset val="134"/>
      </rPr>
      <t>+1</t>
    </r>
    <r>
      <rPr>
        <sz val="11"/>
        <rFont val="宋体"/>
        <charset val="134"/>
      </rPr>
      <t>，</t>
    </r>
    <r>
      <rPr>
        <sz val="11"/>
        <rFont val="Arial"/>
        <charset val="134"/>
      </rPr>
      <t>N1</t>
    </r>
    <r>
      <rPr>
        <sz val="11"/>
        <rFont val="宋体"/>
        <charset val="134"/>
      </rPr>
      <t>统一归</t>
    </r>
    <r>
      <rPr>
        <sz val="11"/>
        <rFont val="Arial"/>
        <charset val="134"/>
      </rPr>
      <t>0</t>
    </r>
    <r>
      <rPr>
        <sz val="11"/>
        <rFont val="宋体"/>
        <charset val="134"/>
      </rPr>
      <t xml:space="preserve">；
</t>
    </r>
    <r>
      <rPr>
        <sz val="11"/>
        <rFont val="Arial"/>
        <charset val="134"/>
      </rPr>
      <t>N2</t>
    </r>
    <r>
      <rPr>
        <sz val="11"/>
        <rFont val="宋体"/>
        <charset val="134"/>
      </rPr>
      <t>：从</t>
    </r>
    <r>
      <rPr>
        <sz val="11"/>
        <rFont val="Arial"/>
        <charset val="134"/>
      </rPr>
      <t>0</t>
    </r>
    <r>
      <rPr>
        <sz val="11"/>
        <rFont val="宋体"/>
        <charset val="134"/>
      </rPr>
      <t>开始，每次讨论稿释放</t>
    </r>
    <r>
      <rPr>
        <sz val="11"/>
        <rFont val="Arial"/>
        <charset val="134"/>
      </rPr>
      <t>+1</t>
    </r>
    <r>
      <rPr>
        <sz val="11"/>
        <rFont val="宋体"/>
        <charset val="134"/>
      </rPr>
      <t>，正式发布后统一归</t>
    </r>
    <r>
      <rPr>
        <sz val="11"/>
        <rFont val="Arial"/>
        <charset val="134"/>
      </rPr>
      <t>0</t>
    </r>
    <r>
      <rPr>
        <sz val="11"/>
        <rFont val="宋体"/>
        <charset val="134"/>
      </rPr>
      <t>，即正式发布的版本必须</t>
    </r>
    <r>
      <rPr>
        <sz val="11"/>
        <rFont val="Arial"/>
        <charset val="134"/>
      </rPr>
      <t>N1.0</t>
    </r>
    <r>
      <rPr>
        <sz val="11"/>
        <rFont val="宋体"/>
        <charset val="134"/>
      </rPr>
      <t>。
正式发布前，需要组织评审，评审通过后才能正式发布。</t>
    </r>
  </si>
  <si>
    <t>2024.4.30</t>
  </si>
  <si>
    <t>陈春建</t>
  </si>
  <si>
    <t>单位unit</t>
  </si>
  <si>
    <t>精度：</t>
  </si>
  <si>
    <t>HCM Variant</t>
  </si>
  <si>
    <t>Vehicle</t>
  </si>
  <si>
    <t xml:space="preserve">NORMAL </t>
  </si>
  <si>
    <t>时间</t>
  </si>
  <si>
    <t>sec</t>
  </si>
  <si>
    <t>HCM AIR</t>
  </si>
  <si>
    <r>
      <rPr>
        <sz val="11"/>
        <color theme="1"/>
        <rFont val="等线"/>
        <charset val="134"/>
        <scheme val="minor"/>
      </rPr>
      <t>N</t>
    </r>
    <r>
      <rPr>
        <sz val="11"/>
        <color theme="1"/>
        <rFont val="等线"/>
        <charset val="134"/>
        <scheme val="minor"/>
      </rPr>
      <t>TC</t>
    </r>
  </si>
  <si>
    <r>
      <rPr>
        <sz val="11"/>
        <color theme="1"/>
        <rFont val="等线"/>
        <charset val="134"/>
        <scheme val="minor"/>
      </rPr>
      <t>HS11</t>
    </r>
    <r>
      <rPr>
        <sz val="11"/>
        <color theme="1"/>
        <rFont val="等线"/>
        <charset val="134"/>
        <scheme val="minor"/>
      </rPr>
      <t xml:space="preserve"> High CN</t>
    </r>
  </si>
  <si>
    <t>EOL</t>
  </si>
  <si>
    <t>ms</t>
  </si>
  <si>
    <r>
      <rPr>
        <sz val="11"/>
        <color theme="1"/>
        <rFont val="等线"/>
        <charset val="134"/>
        <scheme val="minor"/>
      </rPr>
      <t>B</t>
    </r>
    <r>
      <rPr>
        <sz val="11"/>
        <color theme="1"/>
        <rFont val="等线"/>
        <charset val="134"/>
        <scheme val="minor"/>
      </rPr>
      <t>IN</t>
    </r>
  </si>
  <si>
    <t>HS11 Middle CN</t>
  </si>
  <si>
    <t>Hard_TEST</t>
  </si>
  <si>
    <t>us</t>
  </si>
  <si>
    <t>HS11 Low CN</t>
  </si>
  <si>
    <t>角度</t>
  </si>
  <si>
    <t>deg</t>
  </si>
  <si>
    <t>HS11 Middle EU</t>
  </si>
  <si>
    <t>步数</t>
  </si>
  <si>
    <t>HS</t>
  </si>
  <si>
    <t>HS11 Low EU</t>
  </si>
  <si>
    <t>温度</t>
  </si>
  <si>
    <t>℃</t>
  </si>
  <si>
    <t>电流</t>
  </si>
  <si>
    <t>mA</t>
  </si>
  <si>
    <t>电压</t>
  </si>
  <si>
    <t>V</t>
  </si>
  <si>
    <t>电阻</t>
  </si>
  <si>
    <t>mΩ</t>
  </si>
  <si>
    <t>功率</t>
  </si>
  <si>
    <t>W</t>
  </si>
  <si>
    <t>百分比</t>
  </si>
  <si>
    <t>%</t>
  </si>
  <si>
    <t>--</t>
  </si>
  <si>
    <t>速度</t>
  </si>
  <si>
    <t>m/s</t>
  </si>
  <si>
    <r>
      <rPr>
        <sz val="11"/>
        <color theme="1"/>
        <rFont val="等线"/>
        <charset val="134"/>
        <scheme val="minor"/>
      </rPr>
      <t>km</t>
    </r>
    <r>
      <rPr>
        <sz val="11"/>
        <color theme="1"/>
        <rFont val="等线"/>
        <charset val="134"/>
        <scheme val="minor"/>
      </rPr>
      <t>/h</t>
    </r>
  </si>
  <si>
    <t>序号</t>
  </si>
  <si>
    <t>备注</t>
  </si>
  <si>
    <t>HCML（SWP1）</t>
  </si>
  <si>
    <t>HCMR（SWP1）</t>
  </si>
  <si>
    <t>HW Variant</t>
  </si>
  <si>
    <t>P171</t>
  </si>
  <si>
    <t>Geely</t>
  </si>
  <si>
    <t>Customer</t>
  </si>
  <si>
    <t>GEELY</t>
  </si>
  <si>
    <t>Unit16</t>
  </si>
  <si>
    <t>Part Number（left）</t>
  </si>
  <si>
    <t>66 08 60 24 08 20 20 41</t>
  </si>
  <si>
    <t>Part Number（right）</t>
  </si>
  <si>
    <t>66 08 60 24 07 20 20 41</t>
  </si>
  <si>
    <t>Template Version</t>
  </si>
  <si>
    <t>Document Version</t>
  </si>
  <si>
    <t>Project Phase</t>
  </si>
  <si>
    <t>验证用</t>
  </si>
  <si>
    <t>CfgPrm Usage</t>
  </si>
  <si>
    <t>X1_P11</t>
  </si>
  <si>
    <t>X1_P12</t>
  </si>
  <si>
    <t>X1_P9</t>
  </si>
  <si>
    <t>X1_P8</t>
  </si>
  <si>
    <t>X1_P4</t>
  </si>
  <si>
    <t>X1_P6</t>
  </si>
  <si>
    <t>X1_P24</t>
  </si>
  <si>
    <t>X1_P23</t>
  </si>
  <si>
    <t>X1_P02</t>
  </si>
  <si>
    <t>X1_P15</t>
  </si>
  <si>
    <t>Light Functions</t>
  </si>
  <si>
    <r>
      <rPr>
        <b/>
        <sz val="11"/>
        <color theme="1"/>
        <rFont val="等线"/>
        <charset val="134"/>
        <scheme val="minor"/>
      </rPr>
      <t>V</t>
    </r>
    <r>
      <rPr>
        <b/>
        <sz val="11"/>
        <color theme="1"/>
        <rFont val="等线"/>
        <charset val="134"/>
        <scheme val="minor"/>
      </rPr>
      <t>alue</t>
    </r>
  </si>
  <si>
    <t>CH1</t>
  </si>
  <si>
    <t>CH1_ByP</t>
  </si>
  <si>
    <t>CH2</t>
  </si>
  <si>
    <t>CH2_Alt</t>
  </si>
  <si>
    <t>CH3</t>
  </si>
  <si>
    <t>CH4</t>
  </si>
  <si>
    <t>HSD1</t>
  </si>
  <si>
    <t>HSD2</t>
  </si>
  <si>
    <t>HW_OUT1</t>
  </si>
  <si>
    <t>HW_OUT2</t>
  </si>
  <si>
    <t>Res2</t>
  </si>
  <si>
    <t>N-1策略</t>
  </si>
  <si>
    <t>Low Beam</t>
  </si>
  <si>
    <t>x</t>
  </si>
  <si>
    <r>
      <rPr>
        <sz val="12"/>
        <color theme="1"/>
        <rFont val="等线"/>
        <charset val="134"/>
        <scheme val="minor"/>
      </rPr>
      <t>LB</t>
    </r>
    <r>
      <rPr>
        <sz val="11"/>
        <color theme="1"/>
        <rFont val="等线"/>
        <charset val="134"/>
        <scheme val="minor"/>
      </rPr>
      <t xml:space="preserve"> Flat只能配置CH1</t>
    </r>
  </si>
  <si>
    <t>High Beam</t>
  </si>
  <si>
    <t>Daytime Running Light (DRL)</t>
  </si>
  <si>
    <t>Position Light (PoLi)</t>
  </si>
  <si>
    <t xml:space="preserve">Turn Indicator </t>
  </si>
  <si>
    <t>Cornering Light</t>
  </si>
  <si>
    <t>Fog Lamp</t>
  </si>
  <si>
    <t>Logo Lamp</t>
  </si>
  <si>
    <t>Front Cross Lamp</t>
  </si>
  <si>
    <t>Grille Lamp</t>
  </si>
  <si>
    <t>Assistant Light</t>
  </si>
  <si>
    <t>ADS Lamp（Front Auto Drive Marker Lamp）</t>
  </si>
  <si>
    <t>Side Marker Lamp (SML)</t>
  </si>
  <si>
    <t>FAN</t>
  </si>
  <si>
    <t>DC_motor</t>
  </si>
  <si>
    <t>新增直流电机，只能选择HSS1</t>
  </si>
  <si>
    <t>N-1策略：X为一灭全灭，不填为一灭不全灭</t>
  </si>
  <si>
    <t>DRL</t>
  </si>
  <si>
    <t>DRL &amp; TI surfaces are near</t>
  </si>
  <si>
    <t>填写DRL对应的channel</t>
  </si>
  <si>
    <r>
      <rPr>
        <sz val="12"/>
        <color theme="1"/>
        <rFont val="等线"/>
        <charset val="134"/>
        <scheme val="minor"/>
      </rPr>
      <t>日行灯和转向灯靠近4</t>
    </r>
    <r>
      <rPr>
        <sz val="11"/>
        <color theme="1"/>
        <rFont val="等线"/>
        <charset val="134"/>
        <scheme val="minor"/>
      </rPr>
      <t>0mm</t>
    </r>
  </si>
  <si>
    <t>DRL &amp; TI surfaces are apparent</t>
  </si>
  <si>
    <t>日行灯和转向灯共用发光面</t>
  </si>
  <si>
    <t>POS</t>
  </si>
  <si>
    <t>POS &amp; TI surfaces are apparent</t>
  </si>
  <si>
    <t>填写POS对应的channel</t>
  </si>
  <si>
    <t>位置灯和转向灯共用发光面</t>
  </si>
  <si>
    <t>ADS</t>
  </si>
  <si>
    <t>ADS &amp; TI surfaces are apparent</t>
  </si>
  <si>
    <r>
      <rPr>
        <sz val="11"/>
        <color theme="1"/>
        <rFont val="等线"/>
        <charset val="134"/>
        <scheme val="minor"/>
      </rPr>
      <t>填写ADS对应的channel</t>
    </r>
    <r>
      <rPr>
        <sz val="11"/>
        <color theme="1"/>
        <rFont val="等线"/>
        <charset val="134"/>
        <scheme val="minor"/>
      </rPr>
      <t>/HSD</t>
    </r>
  </si>
  <si>
    <t>ADS灯和转向灯共用发光面</t>
  </si>
  <si>
    <r>
      <rPr>
        <b/>
        <sz val="11"/>
        <color theme="1"/>
        <rFont val="等线"/>
        <charset val="134"/>
        <scheme val="minor"/>
      </rPr>
      <t>DRL &amp;</t>
    </r>
    <r>
      <rPr>
        <b/>
        <sz val="11"/>
        <color theme="1"/>
        <rFont val="等线"/>
        <charset val="134"/>
        <scheme val="minor"/>
      </rPr>
      <t xml:space="preserve"> </t>
    </r>
    <r>
      <rPr>
        <b/>
        <sz val="11"/>
        <color theme="1"/>
        <rFont val="等线"/>
        <charset val="134"/>
        <scheme val="minor"/>
      </rPr>
      <t>ADS surfaces are apparent</t>
    </r>
  </si>
  <si>
    <t>ADS灯和日行灯共用发光面</t>
  </si>
  <si>
    <r>
      <rPr>
        <b/>
        <sz val="11"/>
        <color theme="1"/>
        <rFont val="等线"/>
        <charset val="134"/>
        <scheme val="minor"/>
      </rPr>
      <t xml:space="preserve">POS &amp; </t>
    </r>
    <r>
      <rPr>
        <b/>
        <sz val="11"/>
        <color theme="1"/>
        <rFont val="等线"/>
        <charset val="134"/>
        <scheme val="minor"/>
      </rPr>
      <t>ADS surfaces are apparent</t>
    </r>
  </si>
  <si>
    <t>ADS灯和位置灯共用发光面</t>
  </si>
  <si>
    <t>Channel</t>
  </si>
  <si>
    <t>Unit</t>
  </si>
  <si>
    <t>Min</t>
  </si>
  <si>
    <t>Max</t>
  </si>
  <si>
    <t>精度</t>
  </si>
  <si>
    <t>Default</t>
  </si>
  <si>
    <t>Parameter Name</t>
  </si>
  <si>
    <t>Description</t>
  </si>
  <si>
    <t>Remark</t>
  </si>
  <si>
    <t>Enable</t>
  </si>
  <si>
    <t>enabled</t>
  </si>
  <si>
    <t>disabled</t>
  </si>
  <si>
    <t>channel/HSD：0  enabled, 1 disabled</t>
  </si>
  <si>
    <t>pLedUminVoltage</t>
  </si>
  <si>
    <t>Minimum voltage level allowed for channel 1. Below this level the fault signal and DTC will be set. Reduced voltage could be caused by the shortcircuit of several LEDs in string. 
1,5V reduction to compensate for tolerances (no pseudo failures) It includes 2% HCM measuring tolerance + 3 * LSB (LSB = 0,35V)"</t>
  </si>
  <si>
    <t>pLedMaxVoltage</t>
  </si>
  <si>
    <t>Maximum voltage @ nominal current and -40°C on LED channel ，以及考虑线损。</t>
  </si>
  <si>
    <t>pLedNomCurrent</t>
  </si>
  <si>
    <t>Led forward nominal current of the channel 1: to be used if diagnostic current is out of range defined by parameters pLedMinCurrent#0 and pLedMaxCurrent#0</t>
  </si>
  <si>
    <r>
      <rPr>
        <sz val="11"/>
        <color theme="1"/>
        <rFont val="微软雅黑"/>
        <charset val="134"/>
      </rPr>
      <t>buck芯片的电流最小设置为100mA，通道LED要求的配置电流小于100mA时，可以填写，比如50mA：</t>
    </r>
    <r>
      <rPr>
        <sz val="11"/>
        <color rgb="FFFF0000"/>
        <rFont val="微软雅黑"/>
        <charset val="134"/>
      </rPr>
      <t>实际软件策略BUCK寄存器设置为：100mA+50%PWM</t>
    </r>
  </si>
  <si>
    <t>pLedMinCurrent</t>
  </si>
  <si>
    <t>Led forward minimum current of the channel 1</t>
  </si>
  <si>
    <t>pLedMaxCurrent</t>
  </si>
  <si>
    <t>Led forward maximum current of the channel 1</t>
  </si>
  <si>
    <t>pLedPmaxPower</t>
  </si>
  <si>
    <t xml:space="preserve">Maximum power output on LED channel 1, average power for matrix channels. </t>
  </si>
  <si>
    <t>Derate</t>
  </si>
  <si>
    <t>pLedDerTemp1</t>
  </si>
  <si>
    <t>°C</t>
  </si>
  <si>
    <t>-40</t>
  </si>
  <si>
    <t>Derating: below this light temperature output power level shall be PwrA#</t>
  </si>
  <si>
    <t>pLedDerTemp2</t>
  </si>
  <si>
    <t>-20</t>
  </si>
  <si>
    <t>Derating: above this light temperature output power level shall be 100%</t>
  </si>
  <si>
    <t>pLedDerTemp3</t>
  </si>
  <si>
    <t>Derating: below this light temperature output power level shall be 100%</t>
  </si>
  <si>
    <t>pLedDerTemp4</t>
  </si>
  <si>
    <t>Derating: at this light temperature output power level shall be PwrB#</t>
  </si>
  <si>
    <t>pLedDerTemp5</t>
  </si>
  <si>
    <t>Derating: at this light temperature output power level shall be PwrC#</t>
  </si>
  <si>
    <t>pLedDerPwrA(%)</t>
  </si>
  <si>
    <t>pLedDerPwrA</t>
  </si>
  <si>
    <t>Derating: output current level on light for temperature below Temp1#</t>
  </si>
  <si>
    <t>ATTENTION: Deration is performed in current, not in power!</t>
  </si>
  <si>
    <t>pLedDerPwrB(%)</t>
  </si>
  <si>
    <t>pLedDerPwrB</t>
  </si>
  <si>
    <t>Derating: output current level on light at temperature Temp4#</t>
  </si>
  <si>
    <t>pLedDerPwrC(%)</t>
  </si>
  <si>
    <t>pLedDerPwrC</t>
  </si>
  <si>
    <t>Derating: output current level on light at temperature Temp5#</t>
  </si>
  <si>
    <t>pHSD1OLEnable</t>
  </si>
  <si>
    <t>0 means OL detection enabled, 1: OL detection disabled</t>
  </si>
  <si>
    <t>pIOutOCHSD</t>
  </si>
  <si>
    <t>Open circuit threshold for the HSD channel.</t>
  </si>
  <si>
    <t>pIOutSCGHSD</t>
  </si>
  <si>
    <t>short to ground threshold for the HSD channel.</t>
  </si>
  <si>
    <t>pHSDMaxVolt</t>
  </si>
  <si>
    <t>Above this supply voltage the HSD is disabled  Supply voltage between HCM supply input pin and ground pin is considered. If HSD is used for LMM / dynamic light circuit supply fill in maximum voltage</t>
  </si>
  <si>
    <t>pHSDMinVolt</t>
  </si>
  <si>
    <t>Below this supply voltage the HSD channel is disabled. Supply voltage between power supply input pin (KL30) and ground pin is considered.</t>
  </si>
  <si>
    <t>Parameter</t>
  </si>
  <si>
    <t>Value</t>
  </si>
  <si>
    <t>pLedDerMinCurrLoBeamFlat</t>
  </si>
  <si>
    <t>Derating: minimum output current level for Low Beam Flat (channel 1); Channel 1 will not be derated under this value even if this will lead to LED damage. This value is used for NTC based derating, The channel is not switched OFF but kept ON at this intensity value</t>
  </si>
  <si>
    <t xml:space="preserve">降额时，LB Flat对应输出通道的PWM值  </t>
  </si>
  <si>
    <t>183066 v3 ECU Thermal Derating</t>
  </si>
  <si>
    <t>pLedDerMinCurrDirIndcr</t>
  </si>
  <si>
    <t>Derating: minimum output current level for Turn Indicator channels; Turn Indicator channels will not be derated under this value even if this will lead to LED damage. This value is used for NTC based derating, The channel is not switched OFF but kept ON at this intensity value</t>
  </si>
  <si>
    <t xml:space="preserve">降额时，TI对应输出通道的PWM值 </t>
  </si>
  <si>
    <t>202593 v2 EL_TSR24_SR, Minimum power of LED TI on LED temperuter deration</t>
  </si>
  <si>
    <t>pLedDerTempHys</t>
  </si>
  <si>
    <t>Derating: hysteresis to be used with pLedDerTemp1, pLedDerTemp2, pLedDerTemp3, pLedDerTemp4 &amp; pLedDerTemp5</t>
  </si>
  <si>
    <t>Derate时，回滞温度</t>
  </si>
  <si>
    <t>、</t>
  </si>
  <si>
    <t>NTC</t>
  </si>
  <si>
    <t>NTC1</t>
  </si>
  <si>
    <t>NTC2</t>
  </si>
  <si>
    <t>NTC3</t>
  </si>
  <si>
    <t>NTC4</t>
  </si>
  <si>
    <t>NTC5</t>
  </si>
  <si>
    <t>NTC6</t>
  </si>
  <si>
    <t>pNtcType#</t>
  </si>
  <si>
    <t>[1]NTCType1</t>
  </si>
  <si>
    <t>[0]None</t>
  </si>
  <si>
    <t>Type of the NTC 1 (see sheet "Param values")</t>
  </si>
  <si>
    <t>pNtcFaultTemp#</t>
  </si>
  <si>
    <t>Default temperature to be used in case of failure of NTC 1</t>
  </si>
  <si>
    <t>Chn to Ntc</t>
  </si>
  <si>
    <t>pLedChToNtc#</t>
  </si>
  <si>
    <t>pLedChToNtc#1</t>
  </si>
  <si>
    <t>Assigned LED channel 1 to NTC sensor (0 = No NTC，1=NTC1，2=NTC2，3=NTC3,4=NTC4，5=NTC5，6=NTC6）</t>
  </si>
  <si>
    <t>NTC Value corresponding to temperature (Resistor)</t>
  </si>
  <si>
    <t>NTC Type</t>
  </si>
  <si>
    <t>Type 1</t>
  </si>
  <si>
    <t>Type 2</t>
  </si>
  <si>
    <t>NTC Value @</t>
  </si>
  <si>
    <t>-49°C</t>
  </si>
  <si>
    <t>pNtcIndTemp#1#1</t>
  </si>
  <si>
    <t xml:space="preserve">NTC value for NTC type corresponding to temperature </t>
  </si>
  <si>
    <t>-48°C</t>
  </si>
  <si>
    <t>pADCVal#1</t>
  </si>
  <si>
    <t xml:space="preserve">ADC value for NTC type 6 &amp;  NTC type 7 , value 1 </t>
  </si>
  <si>
    <t>-47°C</t>
  </si>
  <si>
    <t>Matrix NTC type1</t>
  </si>
  <si>
    <t>Temperature value mapped with ADC parameter 1</t>
  </si>
  <si>
    <t xml:space="preserve">NTC Value @ </t>
  </si>
  <si>
    <t>-46°C</t>
  </si>
  <si>
    <t>Matrix NTC type2</t>
  </si>
  <si>
    <t>Temperature value mapped for NTC2 with ADC parameter 1</t>
  </si>
  <si>
    <t>-45°C</t>
  </si>
  <si>
    <t>-44°C</t>
  </si>
  <si>
    <t>-43°C</t>
  </si>
  <si>
    <t>-42°C</t>
  </si>
  <si>
    <t>-41°C</t>
  </si>
  <si>
    <t>-40°C</t>
  </si>
  <si>
    <t>-39°C</t>
  </si>
  <si>
    <t>-38°C</t>
  </si>
  <si>
    <t>-37°C</t>
  </si>
  <si>
    <t>-36°C</t>
  </si>
  <si>
    <t>-35°C</t>
  </si>
  <si>
    <t>-34°C</t>
  </si>
  <si>
    <t>-33°C</t>
  </si>
  <si>
    <t>-32°C</t>
  </si>
  <si>
    <t>-31°C</t>
  </si>
  <si>
    <t>-30°C</t>
  </si>
  <si>
    <t>-29°C</t>
  </si>
  <si>
    <t>-28°C</t>
  </si>
  <si>
    <t>-27°C</t>
  </si>
  <si>
    <t>-26°C</t>
  </si>
  <si>
    <t>-25°C</t>
  </si>
  <si>
    <t>-24°C</t>
  </si>
  <si>
    <t>-23°C</t>
  </si>
  <si>
    <t>-22°C</t>
  </si>
  <si>
    <t>-21°C</t>
  </si>
  <si>
    <t>-20°C</t>
  </si>
  <si>
    <t>-19°C</t>
  </si>
  <si>
    <t>-18°C</t>
  </si>
  <si>
    <t>-17°C</t>
  </si>
  <si>
    <t>-16°C</t>
  </si>
  <si>
    <t>-15°C</t>
  </si>
  <si>
    <t>-14°C</t>
  </si>
  <si>
    <t>-13°C</t>
  </si>
  <si>
    <t>-12°C</t>
  </si>
  <si>
    <t>-11°C</t>
  </si>
  <si>
    <t>-10°C</t>
  </si>
  <si>
    <t>-9°C</t>
  </si>
  <si>
    <t>-8°C</t>
  </si>
  <si>
    <t>-7°C</t>
  </si>
  <si>
    <t>-6°C</t>
  </si>
  <si>
    <t>-5°C</t>
  </si>
  <si>
    <t>-4°C</t>
  </si>
  <si>
    <t>-3°C</t>
  </si>
  <si>
    <t>-2°C</t>
  </si>
  <si>
    <t>-1°C</t>
  </si>
  <si>
    <t>0°C</t>
  </si>
  <si>
    <t>1°C</t>
  </si>
  <si>
    <t>2°C</t>
  </si>
  <si>
    <t>3°C</t>
  </si>
  <si>
    <t>4°C</t>
  </si>
  <si>
    <t>5°C</t>
  </si>
  <si>
    <t>6°C</t>
  </si>
  <si>
    <t>7°C</t>
  </si>
  <si>
    <t>8°C</t>
  </si>
  <si>
    <t>9°C</t>
  </si>
  <si>
    <t>10°C</t>
  </si>
  <si>
    <t>11°C</t>
  </si>
  <si>
    <t>12°C</t>
  </si>
  <si>
    <t>13°C</t>
  </si>
  <si>
    <t>14°C</t>
  </si>
  <si>
    <t>15°C</t>
  </si>
  <si>
    <t>16°C</t>
  </si>
  <si>
    <t>17°C</t>
  </si>
  <si>
    <t>18°C</t>
  </si>
  <si>
    <t>19°C</t>
  </si>
  <si>
    <t>20°C</t>
  </si>
  <si>
    <t>21°C</t>
  </si>
  <si>
    <t>22°C</t>
  </si>
  <si>
    <t>23°C</t>
  </si>
  <si>
    <t>24°C</t>
  </si>
  <si>
    <t>25°C</t>
  </si>
  <si>
    <t>26°C</t>
  </si>
  <si>
    <t>27°C</t>
  </si>
  <si>
    <t>28°C</t>
  </si>
  <si>
    <t>29°C</t>
  </si>
  <si>
    <t>70°C</t>
  </si>
  <si>
    <t>71°C</t>
  </si>
  <si>
    <t>72°C</t>
  </si>
  <si>
    <t>73°C</t>
  </si>
  <si>
    <t>74°C</t>
  </si>
  <si>
    <t>75°C</t>
  </si>
  <si>
    <t>76°C</t>
  </si>
  <si>
    <t>77°C</t>
  </si>
  <si>
    <t>78°C</t>
  </si>
  <si>
    <t>79°C</t>
  </si>
  <si>
    <t>80°C</t>
  </si>
  <si>
    <t>81°C</t>
  </si>
  <si>
    <t>82°C</t>
  </si>
  <si>
    <t>83°C</t>
  </si>
  <si>
    <t>84°C</t>
  </si>
  <si>
    <t>85°C</t>
  </si>
  <si>
    <t>86°C</t>
  </si>
  <si>
    <t>87°C</t>
  </si>
  <si>
    <t>88°C</t>
  </si>
  <si>
    <t>89°C</t>
  </si>
  <si>
    <t>90°C</t>
  </si>
  <si>
    <t>91°C</t>
  </si>
  <si>
    <t>92°C</t>
  </si>
  <si>
    <t>93°C</t>
  </si>
  <si>
    <t>94°C</t>
  </si>
  <si>
    <t>95°C</t>
  </si>
  <si>
    <t>96°C</t>
  </si>
  <si>
    <t>97°C</t>
  </si>
  <si>
    <t>98°C</t>
  </si>
  <si>
    <t>99°C</t>
  </si>
  <si>
    <t>100°C</t>
  </si>
  <si>
    <t>101°C</t>
  </si>
  <si>
    <t>102°C</t>
  </si>
  <si>
    <t>103°C</t>
  </si>
  <si>
    <t>104°C</t>
  </si>
  <si>
    <t>105°C</t>
  </si>
  <si>
    <t>106°C</t>
  </si>
  <si>
    <t>107°C</t>
  </si>
  <si>
    <t>108°C</t>
  </si>
  <si>
    <t>109°C</t>
  </si>
  <si>
    <t>110°C</t>
  </si>
  <si>
    <t>111°C</t>
  </si>
  <si>
    <t>112°C</t>
  </si>
  <si>
    <t>113°C</t>
  </si>
  <si>
    <t>114°C</t>
  </si>
  <si>
    <t>115°C</t>
  </si>
  <si>
    <t>116°C</t>
  </si>
  <si>
    <t>117°C</t>
  </si>
  <si>
    <t>118°C</t>
  </si>
  <si>
    <t>119°C</t>
  </si>
  <si>
    <t>120°C</t>
  </si>
  <si>
    <t>121°C</t>
  </si>
  <si>
    <t>122°C</t>
  </si>
  <si>
    <t>123°C</t>
  </si>
  <si>
    <t>124°C</t>
  </si>
  <si>
    <t>125°C</t>
  </si>
  <si>
    <t>126°C</t>
  </si>
  <si>
    <t>127°C</t>
  </si>
  <si>
    <t>128°C</t>
  </si>
  <si>
    <t>129°C</t>
  </si>
  <si>
    <t>130°C</t>
  </si>
  <si>
    <t>131°C</t>
  </si>
  <si>
    <t>132°C</t>
  </si>
  <si>
    <t>133°C</t>
  </si>
  <si>
    <t>134°C</t>
  </si>
  <si>
    <t>135°C</t>
  </si>
  <si>
    <t>136°C</t>
  </si>
  <si>
    <t>137°C</t>
  </si>
  <si>
    <t>138°C</t>
  </si>
  <si>
    <t>139°C</t>
  </si>
  <si>
    <t>140°C</t>
  </si>
  <si>
    <t>141°C</t>
  </si>
  <si>
    <t>142°C</t>
  </si>
  <si>
    <t>143°C</t>
  </si>
  <si>
    <t>144°C</t>
  </si>
  <si>
    <t>145°C</t>
  </si>
  <si>
    <t>146°C</t>
  </si>
  <si>
    <t>147°C</t>
  </si>
  <si>
    <t>148°C</t>
  </si>
  <si>
    <t>149°C</t>
  </si>
  <si>
    <t>150°C</t>
  </si>
  <si>
    <t>[0]Off</t>
  </si>
  <si>
    <t>Not used</t>
  </si>
  <si>
    <t>Low Beam Flat</t>
  </si>
  <si>
    <t>NO</t>
  </si>
  <si>
    <t>None</t>
  </si>
  <si>
    <t>[0] No Rcod</t>
  </si>
  <si>
    <t>mode</t>
  </si>
  <si>
    <t>OffsTiPm</t>
  </si>
  <si>
    <t>ConTiPrm</t>
  </si>
  <si>
    <t>LowBriPrm</t>
  </si>
  <si>
    <t>UpperBriPrm</t>
  </si>
  <si>
    <r>
      <rPr>
        <sz val="11"/>
        <color theme="1"/>
        <rFont val="等线"/>
        <charset val="134"/>
        <scheme val="minor"/>
      </rPr>
      <t>P</t>
    </r>
    <r>
      <rPr>
        <sz val="11"/>
        <color theme="1"/>
        <rFont val="等线"/>
        <charset val="134"/>
        <scheme val="minor"/>
      </rPr>
      <t>WM</t>
    </r>
  </si>
  <si>
    <t>[1]On</t>
  </si>
  <si>
    <t>Group_1</t>
  </si>
  <si>
    <t>Low Beam Kink</t>
  </si>
  <si>
    <t>YES</t>
  </si>
  <si>
    <t>TPS92662A-Q1</t>
  </si>
  <si>
    <t>COM1</t>
  </si>
  <si>
    <t>[1] Rcod1</t>
  </si>
  <si>
    <t>[2]Gradual On</t>
  </si>
  <si>
    <t>Group_2</t>
  </si>
  <si>
    <t>High Beam Sail</t>
  </si>
  <si>
    <t>COM2</t>
  </si>
  <si>
    <t>[2]NTCType2</t>
  </si>
  <si>
    <t>[2] Rcod2</t>
  </si>
  <si>
    <t>[3]Gradual Off</t>
  </si>
  <si>
    <t>Group_3</t>
  </si>
  <si>
    <t>High Beam Spot</t>
  </si>
  <si>
    <t>COM3</t>
  </si>
  <si>
    <t>[3] Rcod3</t>
  </si>
  <si>
    <t>[4]Forward Wiping On</t>
  </si>
  <si>
    <t>Group_4</t>
  </si>
  <si>
    <t>[4] MtxRcod1</t>
  </si>
  <si>
    <t>[5]Backward Wiping On</t>
  </si>
  <si>
    <t>Group_5</t>
  </si>
  <si>
    <t>[5] MtxRcod2</t>
  </si>
  <si>
    <t>[6]Outward Wiping On</t>
  </si>
  <si>
    <t>Group_6</t>
  </si>
  <si>
    <t>[7]Inward Wiping On</t>
  </si>
  <si>
    <t>Group_7</t>
  </si>
  <si>
    <t>[8]Forward Wiping Off</t>
  </si>
  <si>
    <t>Group_8</t>
  </si>
  <si>
    <t>[9]Backward Wiping Off</t>
  </si>
  <si>
    <t>Group_9</t>
  </si>
  <si>
    <t>[10]Outward Wiping Off</t>
  </si>
  <si>
    <t>Group_10</t>
  </si>
  <si>
    <t>[11]Inward Wiping Off</t>
  </si>
  <si>
    <t>Group_11</t>
  </si>
  <si>
    <t>[12]Forward Scanning</t>
  </si>
  <si>
    <t>Group_12</t>
  </si>
  <si>
    <t>Assistant light</t>
  </si>
  <si>
    <t>[13]Backward Scanning</t>
  </si>
  <si>
    <t>Group_13</t>
  </si>
  <si>
    <t xml:space="preserve">Fan2 </t>
  </si>
  <si>
    <t>[14]Breath On</t>
  </si>
  <si>
    <t>Group_14</t>
  </si>
  <si>
    <t>[15]Breath Off</t>
  </si>
  <si>
    <t>Group_15</t>
  </si>
  <si>
    <t>Dynamic Light Circuit</t>
  </si>
  <si>
    <t>[16]Half On and Half Off</t>
  </si>
  <si>
    <t>Group_16</t>
  </si>
  <si>
    <t>LMM Supply</t>
  </si>
  <si>
    <t>[17]Half Off and Half On</t>
  </si>
  <si>
    <t>Group_17</t>
  </si>
  <si>
    <t>[18]Half Dimming On Half Off</t>
  </si>
  <si>
    <t>Group_18</t>
  </si>
  <si>
    <t>[19]Half Dimming On Half On</t>
  </si>
  <si>
    <t>Group_19</t>
  </si>
  <si>
    <t>Low Beam/High Beam</t>
  </si>
  <si>
    <t>[20]Half Off Half Dimming On</t>
  </si>
  <si>
    <t>Group_20</t>
  </si>
  <si>
    <t>[21]Half On Half Dimming On</t>
  </si>
  <si>
    <t>Group_21</t>
  </si>
  <si>
    <t>[22]Half Dimming Off Half Off</t>
  </si>
  <si>
    <t>Group_22</t>
  </si>
  <si>
    <t>[23]Half Dimming Off Half On</t>
  </si>
  <si>
    <t>Group_23</t>
  </si>
  <si>
    <t>[24]Half Off Half Dimming Off</t>
  </si>
  <si>
    <t>Group_24</t>
  </si>
  <si>
    <t>TI</t>
  </si>
  <si>
    <t>[25]Half ON Half Dimming OFF</t>
  </si>
  <si>
    <t>DRL/POS</t>
  </si>
  <si>
    <t>[26]Single On 1</t>
  </si>
  <si>
    <r>
      <rPr>
        <sz val="11"/>
        <color theme="1"/>
        <rFont val="等线"/>
        <charset val="134"/>
        <scheme val="minor"/>
      </rPr>
      <t>D</t>
    </r>
    <r>
      <rPr>
        <sz val="11"/>
        <color theme="1"/>
        <rFont val="等线"/>
        <charset val="134"/>
        <scheme val="minor"/>
      </rPr>
      <t>RL</t>
    </r>
  </si>
  <si>
    <t>[27]Single On 2</t>
  </si>
  <si>
    <t>[28]Single On 3</t>
  </si>
  <si>
    <t>[29]Single On 4</t>
  </si>
  <si>
    <t>[30]Single On 5</t>
  </si>
  <si>
    <t>[31]Single On 6</t>
  </si>
  <si>
    <t>[32]Single On 7</t>
  </si>
  <si>
    <t>[33]Single On 8</t>
  </si>
  <si>
    <t>[34]Single On 9</t>
  </si>
  <si>
    <t>[35]Single On 10</t>
  </si>
  <si>
    <t>[36]Single On 11</t>
  </si>
  <si>
    <t>[37]Single On 12</t>
  </si>
  <si>
    <t>[38]Single Off 1</t>
  </si>
  <si>
    <t>[39]Single Off 2</t>
  </si>
  <si>
    <t>[40]Single Off 3</t>
  </si>
  <si>
    <t>[41]Single Off 4</t>
  </si>
  <si>
    <t>[42]Single Off 5</t>
  </si>
  <si>
    <t>[43]Single Off 6</t>
  </si>
  <si>
    <t>[44]Single Off 7</t>
  </si>
  <si>
    <t>[45]Single Off 8</t>
  </si>
  <si>
    <t>[46]Single Off 9</t>
  </si>
  <si>
    <t>[47]Single Off 10</t>
  </si>
  <si>
    <t>[48]Single Off 11</t>
  </si>
  <si>
    <t>[49]Single Off 12</t>
  </si>
  <si>
    <t>[50]Gradual on plus forward wiping on</t>
  </si>
  <si>
    <t>[51]Gradual on plus backward wiping on</t>
  </si>
  <si>
    <t>[52]Gradual off plus forward wiping off</t>
  </si>
  <si>
    <t>[53]Gradual off plus bakcward wiping off</t>
  </si>
  <si>
    <t>[54]shining and forward scanning&amp;wiping on</t>
  </si>
  <si>
    <t>[55]shining and backward scanning&amp;wiping off</t>
  </si>
  <si>
    <t>Rcod Enable</t>
  </si>
  <si>
    <t>pRcodEnable</t>
  </si>
  <si>
    <t>Coding Resistor Functionality Enabled or disabled 0: Disabled, 1: Enabled</t>
  </si>
  <si>
    <t>Light Channels</t>
  </si>
  <si>
    <t>pBinSrcCh#</t>
  </si>
  <si>
    <t>通道对应的Rcod</t>
  </si>
  <si>
    <t>pBinSrcCh#1</t>
  </si>
  <si>
    <t xml:space="preserve">pBinSrcCh#x : 0 : No Rcod ,use HLS EOL parameter, 1: Rcod1, 2: Rcod2, 3: Rcod3, </t>
  </si>
  <si>
    <t>pDefaultRcodIndexCh#</t>
  </si>
  <si>
    <t>当BIN出现失效时，通道默认的index</t>
  </si>
  <si>
    <t>pDefaultRcodIndexCh#1</t>
  </si>
  <si>
    <t>Value to be used if Rcod has a failure or invalid value: 0: None, 1: Index 1, 2: Index 2 3: Index 3. 4: Index 4….</t>
  </si>
  <si>
    <t>pBinRcod1NTC</t>
  </si>
  <si>
    <t>Map the Rcod 1 input to the NTC Pin, 0:No Rcod1 , 1: NTC 1 2: NTC2 , 3: NTC3, 4:NTC4, 5: NTC5，6: NTC6</t>
  </si>
  <si>
    <t>pBinRcod2NTC</t>
  </si>
  <si>
    <t>Map the Rcod2 input to the NTC Pin, 0:No Rcod2 , 1: NTC 1 2: NTC2 , 3: NTC3, 4:NTC4, 5: NTC5，6: NTC6</t>
  </si>
  <si>
    <t>pBinRcod3NTC</t>
  </si>
  <si>
    <t>Map the Rcod3 input to the NTC Pin, 0:No Rcod2 , 1: NTC 1 2: NTC2 , 3: NTC3, 4:NTC4, 5: NTC5，6: NTC6</t>
  </si>
  <si>
    <t>Index</t>
  </si>
  <si>
    <t>Range</t>
  </si>
  <si>
    <t>Rcod1</t>
  </si>
  <si>
    <t>Rcod2</t>
  </si>
  <si>
    <t>Rcod3</t>
  </si>
  <si>
    <t>Ω</t>
  </si>
  <si>
    <t>pCodeRefFieldL#1</t>
  </si>
  <si>
    <t>Rcod Resistance Low Limit</t>
  </si>
  <si>
    <t>shall be considered as short circuit to Ground</t>
  </si>
  <si>
    <t>pCodeRefFieldH#1</t>
  </si>
  <si>
    <t>Rcod Resistance High Limit</t>
  </si>
  <si>
    <t>shall be considered as open circuit</t>
  </si>
  <si>
    <t>pCodeLedCurrent#1#1</t>
  </si>
  <si>
    <t>output current to be set for Rcod</t>
  </si>
  <si>
    <t>X</t>
  </si>
  <si>
    <t>pFanToChannel for variant</t>
  </si>
  <si>
    <t>FAN1对应的channel通道</t>
  </si>
  <si>
    <t>pFanOnLedCh for variant</t>
  </si>
  <si>
    <t>当对应channel功能点亮时，FAN1需要打开</t>
  </si>
  <si>
    <t>Fan Setting</t>
  </si>
  <si>
    <t>pFanSupInrushTime</t>
  </si>
  <si>
    <t>Delay between the FAN start-up and the start of diagnose routine for SCGND/Overload/Stall errors</t>
  </si>
  <si>
    <t>pFanNomCurrent#0</t>
  </si>
  <si>
    <t>Nominal current of FAN 1, value 0 means NA</t>
  </si>
  <si>
    <t>This is required for stall detection in case diag pin is not available.</t>
  </si>
  <si>
    <t>pFanNomCurTol#0</t>
  </si>
  <si>
    <t>Nominal current tolerance (± %) for FAN 1</t>
  </si>
  <si>
    <t>pFanLockDebTime#0</t>
  </si>
  <si>
    <t>Debounce time for FAN 1 diag output.</t>
  </si>
  <si>
    <t>If diag output is locked in error position (see pFanDiagInputType#) for more than this debounce time then FAN stalled.</t>
  </si>
  <si>
    <t>pFanLockProtOnTime#0</t>
  </si>
  <si>
    <t>Sec</t>
  </si>
  <si>
    <t>Stall: ON time in retry mechanism build inside FAN 1 (0 = no retry mechanism inside FAN 1)</t>
  </si>
  <si>
    <t>pFanLockProtTimeTol#0</t>
  </si>
  <si>
    <t>Stall: Tolerance for pFanLockProtOnTime#0 and pFanLockProtOffTime#0</t>
  </si>
  <si>
    <t>pFanLockRetryOffTime</t>
  </si>
  <si>
    <t>Stall: OFF time in retry mechanism build by HCM provided that configured is only 1 FAN without retry mechanism build inside; (0 = retry mechanism is not active in HCM)</t>
  </si>
  <si>
    <t>pFanFaultSignal</t>
  </si>
  <si>
    <t xml:space="preserve">Show if the Low Beam failure signal shall be set also for FAN failure (1 = No; 2 = Yes; other = invalid) </t>
  </si>
  <si>
    <t>pFanLedTempHys</t>
  </si>
  <si>
    <t xml:space="preserve">Hysteresis to be used with LED temperature                      </t>
  </si>
  <si>
    <t>pFanCoolLedTempLo</t>
  </si>
  <si>
    <t>Below this LED temperature the FAN power shall be 0</t>
  </si>
  <si>
    <t>See picture "FAN: LED Cooling" in sheet "Pictures"</t>
  </si>
  <si>
    <t>pFanCoolLedTempHi</t>
  </si>
  <si>
    <t>Above this LED temperature the FAN power shall be pFanCoolPowerHi</t>
  </si>
  <si>
    <t>pFanCoolPowerLo</t>
  </si>
  <si>
    <t>FAN power to be used when temperature is pFanCoolLedTempLo</t>
  </si>
  <si>
    <t>pFanCoolPowerHi</t>
  </si>
  <si>
    <t>FAN power to be used when temperature is above pFanCoolLedTempHi</t>
  </si>
  <si>
    <t>pFanNumber</t>
  </si>
  <si>
    <t>配置风扇数量</t>
  </si>
  <si>
    <t>1 = NoFan; 2 = OneFan; 4 = TwoFans; other = invalid</t>
  </si>
  <si>
    <t>pFanControlPin</t>
  </si>
  <si>
    <t>1 = No; 2 = Yes (RPM not allowed); 4 = Yes (RPM allowed); other = invalid</t>
  </si>
  <si>
    <t>pFanDiagInputType</t>
  </si>
  <si>
    <t>1 = no diag pin available；2 = logical input: error is active on 0L；4 = logical input: error is active on 1L；8 = fixed frequency input, error active on 0L or 1L；16 = variable frequency input (FAN Speed), error active on 0L or 1L invalid</t>
  </si>
  <si>
    <t>Light Function: Type</t>
  </si>
  <si>
    <t>Responsible</t>
  </si>
  <si>
    <t>Model data type resolution</t>
  </si>
  <si>
    <t xml:space="preserve">Param name </t>
  </si>
  <si>
    <t>pVehLvlType</t>
  </si>
  <si>
    <t>大灯水平调节</t>
  </si>
  <si>
    <t>HLS</t>
  </si>
  <si>
    <r>
      <rPr>
        <sz val="9"/>
        <color theme="1"/>
        <rFont val="微软雅黑"/>
        <charset val="134"/>
      </rPr>
      <t>vehicle LVL type, 0=LVL not available, 1=</t>
    </r>
    <r>
      <rPr>
        <sz val="9"/>
        <color rgb="FFFF0000"/>
        <rFont val="微软雅黑"/>
        <charset val="134"/>
      </rPr>
      <t>Manual Leveling with DC motor</t>
    </r>
  </si>
  <si>
    <t>arPar_LVL_VehLvlType</t>
  </si>
  <si>
    <t>pAHBCTyp</t>
  </si>
  <si>
    <t>自适应远光灯模式</t>
  </si>
  <si>
    <t>-</t>
  </si>
  <si>
    <t>Automatic driving beam configuration paramter. One of: 0=No Glare Free HB; 1=AHB;</t>
  </si>
  <si>
    <t>arPar_GFHB_Typ</t>
  </si>
  <si>
    <t>Light Function: DC motor for MHL</t>
  </si>
  <si>
    <t>功能</t>
  </si>
  <si>
    <t>pDCMotrCntrlSCG</t>
  </si>
  <si>
    <t>MHL（DCMotor）</t>
  </si>
  <si>
    <t>直流电机控制pin对地短路的阈值</t>
  </si>
  <si>
    <t>short to ground thershold for motor control pin</t>
  </si>
  <si>
    <t>pDCMotrCntrlSCB</t>
  </si>
  <si>
    <t>直流电机控制pin对电源短路的阈值</t>
  </si>
  <si>
    <t>Short to battery thershold for motor control pin</t>
  </si>
  <si>
    <t>pIOutStallDCMotrHSD</t>
  </si>
  <si>
    <t>电机HSD堵转的电流阈值</t>
  </si>
  <si>
    <t>stall error thershold for motor HSD</t>
  </si>
  <si>
    <t>pManLvlDCPos1</t>
  </si>
  <si>
    <t>直流电机的档位1</t>
  </si>
  <si>
    <t>Manual leveing DC Motor position 1 at Switch position 1 (LVLSwtSetReq  =1)</t>
  </si>
  <si>
    <t>pManLvlDCPos2</t>
  </si>
  <si>
    <t>直流电机的档位2</t>
  </si>
  <si>
    <t>Manual leveing DC Motor position 2 at Switch position 2 (LVLSwtSetReq  =2)</t>
  </si>
  <si>
    <t>pManLvlDCPos3</t>
  </si>
  <si>
    <t>直流电机的档位3</t>
  </si>
  <si>
    <t>Manual leveing DC Motor position 3 at Switch position 3 (LVLSwtSetReq  =3)</t>
  </si>
  <si>
    <t>pManLvlDCPos4</t>
  </si>
  <si>
    <t>直流电机的档位4</t>
  </si>
  <si>
    <t>Manual leveing DC Motor position 4 at Switch position 4 (LVLSwtSetReq  =4)</t>
  </si>
  <si>
    <t>pManLvlDCPos5</t>
  </si>
  <si>
    <t>直流电机的档位5</t>
  </si>
  <si>
    <t>Manual leveing DC Motor position 5 at Switch position 5 (LVLSwtSetReq  =5)</t>
  </si>
  <si>
    <t>pLVLSafetyPosDC</t>
  </si>
  <si>
    <t>直流电机的安全位置</t>
  </si>
  <si>
    <t>Manual leveing DC Motor Safety position Which is used in 2 cases a. Loss of Com &amp; b. Manual Level signal CRC error.</t>
  </si>
  <si>
    <t>pDCMotrCntrlLowrThd</t>
  </si>
  <si>
    <t>直流电机的下极限位置</t>
  </si>
  <si>
    <t xml:space="preserve">DC motor : lower thershold </t>
  </si>
  <si>
    <t>pDCMotrCntrlUpprThd</t>
  </si>
  <si>
    <t>直流电机的上极限位置</t>
  </si>
  <si>
    <t>DC motor : Upper thershold</t>
  </si>
  <si>
    <t>pDCMotrDeactDlyTi</t>
  </si>
  <si>
    <t>直流电机：停用延迟</t>
  </si>
  <si>
    <t>Dc Motor : Delay for DC motor deactivation</t>
  </si>
  <si>
    <t>pDCMotorReserve1</t>
  </si>
  <si>
    <t xml:space="preserve">Reserve for DCMotor1                         </t>
  </si>
  <si>
    <t>pDCMotorReserve2</t>
  </si>
  <si>
    <t xml:space="preserve">Reserve for DCMotor2                         </t>
  </si>
  <si>
    <t>pDCMotorReserve3</t>
  </si>
  <si>
    <t xml:space="preserve">Reserve for DCMotor3                          </t>
  </si>
  <si>
    <t>pDCMotorReserve4</t>
  </si>
  <si>
    <t xml:space="preserve">Reserve for DCMotor4                          </t>
  </si>
  <si>
    <t>Light Function: AHB&amp;AHB2</t>
  </si>
  <si>
    <t>pAHBCDistOfHiBeam</t>
  </si>
  <si>
    <t>AHB/AHB2</t>
  </si>
  <si>
    <t>AHB的最远距离</t>
  </si>
  <si>
    <t>m</t>
  </si>
  <si>
    <t>Maximum distance of illumination of the High Beam</t>
  </si>
  <si>
    <t>arPar_AHBDistOfHiBeam</t>
  </si>
  <si>
    <t xml:space="preserve">welcome / goodbye </t>
  </si>
  <si>
    <t>Welcome</t>
  </si>
  <si>
    <t>Pattern1</t>
  </si>
  <si>
    <t>step</t>
  </si>
  <si>
    <t>PWM</t>
  </si>
  <si>
    <t>Goodbye</t>
  </si>
  <si>
    <t>参数填写规则</t>
  </si>
  <si>
    <t>unit</t>
  </si>
  <si>
    <t>min</t>
  </si>
  <si>
    <t>max</t>
  </si>
  <si>
    <t>2=20ms</t>
  </si>
  <si>
    <r>
      <rPr>
        <sz val="11"/>
        <color theme="1"/>
        <rFont val="等线"/>
        <charset val="134"/>
        <scheme val="minor"/>
      </rPr>
      <t>1</t>
    </r>
    <r>
      <rPr>
        <sz val="11"/>
        <color theme="1"/>
        <rFont val="等线"/>
        <charset val="134"/>
        <scheme val="minor"/>
      </rPr>
      <t>260ms</t>
    </r>
  </si>
  <si>
    <t>1=10ms</t>
  </si>
  <si>
    <r>
      <rPr>
        <sz val="11"/>
        <color theme="1"/>
        <rFont val="等线"/>
        <charset val="134"/>
        <scheme val="minor"/>
      </rPr>
      <t>2</t>
    </r>
    <r>
      <rPr>
        <sz val="11"/>
        <color theme="1"/>
        <rFont val="等线"/>
        <charset val="134"/>
        <scheme val="minor"/>
      </rPr>
      <t>550ms</t>
    </r>
  </si>
  <si>
    <t>ConTiPrm≥OffsTiPm</t>
  </si>
  <si>
    <t>UpperBriPrm≥LowBriPrm</t>
  </si>
  <si>
    <t>mode0：常灭 Mode1：常亮 Mode2：渐亮 Mode3：渐灭</t>
  </si>
  <si>
    <t>Light Control</t>
  </si>
  <si>
    <t>left</t>
  </si>
  <si>
    <t>right</t>
  </si>
  <si>
    <t>Light Function</t>
  </si>
  <si>
    <t>pLedLoBeam</t>
  </si>
  <si>
    <t>pLedHiBeam</t>
  </si>
  <si>
    <t>pLedPosLi</t>
  </si>
  <si>
    <t>pLedFogLi</t>
  </si>
  <si>
    <t>pLedDRL</t>
  </si>
  <si>
    <t>pLedDirIndcr</t>
  </si>
  <si>
    <t>pLedCornrg</t>
  </si>
  <si>
    <t>pLedLogo</t>
  </si>
  <si>
    <t>pLedFrntCross</t>
  </si>
  <si>
    <t>pLedGrille</t>
  </si>
  <si>
    <t>pLedAssistant</t>
  </si>
  <si>
    <t>pLedADS</t>
  </si>
  <si>
    <t>On Ramp Time</t>
  </si>
  <si>
    <t>pLedLoBeamOnRampTi/pLedHiBeamOnRampTi/pLedPosLiOnRampTi</t>
  </si>
  <si>
    <t>time to reach 100 % intensity starting from 0%</t>
  </si>
  <si>
    <t>Off Ramp Time</t>
  </si>
  <si>
    <t>pLedLoBeamOFFRampTi/pLedHiBeamOFFRampTi</t>
  </si>
  <si>
    <t>time to reach 0 % intensity starting from 100%</t>
  </si>
  <si>
    <t>On Delay Time</t>
  </si>
  <si>
    <t>time delay before function is activated</t>
  </si>
  <si>
    <t>Off Delay Time</t>
  </si>
  <si>
    <t>time delay before function is deactivated</t>
  </si>
  <si>
    <t>Light Function: Turning Indicator</t>
  </si>
  <si>
    <t>变更履历</t>
  </si>
  <si>
    <t>描述</t>
  </si>
  <si>
    <t>pLedSeqTiHwl</t>
  </si>
  <si>
    <t>流水转向和流水危险警告灯的设置</t>
  </si>
  <si>
    <t>Sequential TI/HWL: 1 = No Seq; 2 = Seq TI; 4 = Seq HWL; 8 = Seq TI&amp;HWL; other = Invalid</t>
  </si>
  <si>
    <t>Light Function: Position Light</t>
  </si>
  <si>
    <t>pLedTimeUpPosTi</t>
  </si>
  <si>
    <t>共用发光面：POS和TI延时设置</t>
  </si>
  <si>
    <t>POS dimming up duration when TI is turned off</t>
  </si>
  <si>
    <t>pLedIntensityPos</t>
  </si>
  <si>
    <t>POS和DRL共用channel，POS的亮度设置</t>
  </si>
  <si>
    <t>Requested Intensity POS</t>
  </si>
  <si>
    <t>pLedIntensityPosTi</t>
  </si>
  <si>
    <t>共用发光面：转向灯打开时，共用发光面的位置灯亮度值</t>
  </si>
  <si>
    <t>Requested Intensity POS in case TI on</t>
  </si>
  <si>
    <t>This parameter is safety related.</t>
  </si>
  <si>
    <t>pLedTimeUpDrlTi</t>
  </si>
  <si>
    <t>共用发光面：DRL和TI延时设置</t>
  </si>
  <si>
    <t xml:space="preserve">DRL dimming up duration when TI is turned off   </t>
  </si>
  <si>
    <t>pLedIntensityDrlTi</t>
  </si>
  <si>
    <t>共用发光面：转向灯打开时，共用发光面的DRL的亮度值</t>
  </si>
  <si>
    <t>Requested Intensity DRL in case TI on</t>
  </si>
  <si>
    <t>22R1</t>
  </si>
  <si>
    <t>pLedIntensityDrlTi40mm</t>
  </si>
  <si>
    <t>接近40mm发光面：转向灯打开时，接近40mm的DRL的亮度值</t>
  </si>
  <si>
    <t>Requested DRL 40mm Intensity in case TI ON</t>
  </si>
  <si>
    <t>Light Function:WelGby Setting</t>
  </si>
  <si>
    <t>pWelGbytyp</t>
  </si>
  <si>
    <t>welcome / goodbye mode的类型：0：无动画效果，1：逻辑在HCM，2逻辑在灯里面</t>
  </si>
  <si>
    <t>0: No animation, 1:  logic for animation is implemented in HCM, 2: logic for animation is implemented in headlamp</t>
  </si>
  <si>
    <t>pWelDlyTi</t>
  </si>
  <si>
    <t>pWelGbytyp =2时</t>
  </si>
  <si>
    <t>WelGby逻辑在灯里面时，位置灯参与welcome时，打开welcome功能的延时时间</t>
  </si>
  <si>
    <t xml:space="preserve">Delay for turning ON the position light channel for welcome lighting, this is needed for Headlamp circuit initialisation, without LMM </t>
  </si>
  <si>
    <t>pGbyDlyTi</t>
  </si>
  <si>
    <t>WelGby逻辑在灯里面时，位置灯参与goodbye时，打开goodbye功能的延时时间</t>
  </si>
  <si>
    <t>Delay for turning ON the position light channel for goodbye lighting, this is needed for Headlamp circuit initialisation, without LMM</t>
  </si>
  <si>
    <t>pLedPosIntWelGby</t>
  </si>
  <si>
    <t>WelGby逻辑在灯里面时，位置灯在welcome / goodbye mode亮度的PWM值</t>
  </si>
  <si>
    <t>Intensity of position light in welcome / goodbye mode</t>
  </si>
  <si>
    <t>pLEDPosDRLType</t>
  </si>
  <si>
    <t>区分位置灯和日行灯是否共用通道，0共用通道；1不共用通道；2部分共用通道</t>
  </si>
  <si>
    <t>Realisation of DRL and Pos function: 0: Combined in same channel 1: Separate channels , 2: Partial shared</t>
  </si>
  <si>
    <t>pFssLostComTime</t>
  </si>
  <si>
    <t>判定为ActnOfLedLoBeam信号超时，CRC校验错误，Counter错误的时间，默认值500ms 取值范围100-500ms</t>
  </si>
  <si>
    <t xml:space="preserve">CEM lost communication timeout     </t>
  </si>
  <si>
    <t>For safety req this value should be equal to 500ms</t>
  </si>
  <si>
    <t>pFrntCrossAvl</t>
  </si>
  <si>
    <t>前贯穿灯配置，0=无前贯穿灯；1=左HCM有前贯穿灯配置；2=右HCM有前贯穿灯配置；3=两侧HCM都有前贯穿灯配置</t>
  </si>
  <si>
    <t>Cross lamp availability , 0 : Cross lamp is not available, 1 : Cross lamp is available only on Left HCM, 2: Cross lamp is available only on right HCM, 3 : Cross lamp is available on both HCMs</t>
  </si>
  <si>
    <t>pGrilleAvl</t>
  </si>
  <si>
    <t>格栅灯配置，0=无格栅灯；1=左HCM有格栅灯配置；2=右HCM有格栅灯配置；4=两侧HCM都有格栅灯配置</t>
  </si>
  <si>
    <t>Grille lamp availability, 0 : Grille lamp is not available, 1 : Grille lamp is available only on Left HCM, 2: Grille lamp is available only on right HCM, 3 : Grille lamp is available on both HCMs</t>
  </si>
  <si>
    <t>pLedGamma</t>
  </si>
  <si>
    <t>渐亮渐灭模式，1=Step；2=Linear；3=Exponent；</t>
  </si>
  <si>
    <t xml:space="preserve">Legal Requirements, 0 : ECE, 1:SAE and 2 :Reserved    </t>
  </si>
  <si>
    <t>pLegalRequirement</t>
  </si>
  <si>
    <t>ECE，SAE选择，默认是0，ECE</t>
  </si>
  <si>
    <t>pIntenofADML1</t>
  </si>
  <si>
    <t>Geely 24R3U1新增</t>
  </si>
  <si>
    <t>ADS灯的低亮度PWM</t>
  </si>
  <si>
    <t xml:space="preserve">ADML as a lower intensity          </t>
  </si>
  <si>
    <t>pIntenofADML2</t>
  </si>
  <si>
    <t>ADS灯的高亮度PWM</t>
  </si>
  <si>
    <t xml:space="preserve">ADML as a higher intensity          </t>
  </si>
  <si>
    <r>
      <rPr>
        <b/>
        <sz val="11"/>
        <color theme="1"/>
        <rFont val="微软雅黑"/>
        <charset val="134"/>
      </rPr>
      <t>pHWOUT</t>
    </r>
    <r>
      <rPr>
        <b/>
        <sz val="11"/>
        <color theme="1"/>
        <rFont val="微软雅黑"/>
        <charset val="134"/>
      </rPr>
      <t>1</t>
    </r>
    <r>
      <rPr>
        <b/>
        <sz val="11"/>
        <color theme="1"/>
        <rFont val="微软雅黑"/>
        <charset val="134"/>
      </rPr>
      <t>Frequency</t>
    </r>
  </si>
  <si>
    <t>HWOUT1频率设置</t>
  </si>
  <si>
    <t>Hz</t>
  </si>
  <si>
    <t xml:space="preserve">HWOUT1frequency(share with bypass)          </t>
  </si>
  <si>
    <r>
      <rPr>
        <b/>
        <sz val="11"/>
        <color theme="1"/>
        <rFont val="微软雅黑"/>
        <charset val="134"/>
      </rPr>
      <t>pHWOUT2</t>
    </r>
    <r>
      <rPr>
        <b/>
        <sz val="11"/>
        <color theme="1"/>
        <rFont val="微软雅黑"/>
        <charset val="134"/>
      </rPr>
      <t>Frequency</t>
    </r>
  </si>
  <si>
    <t>HWOUT2频率设置</t>
  </si>
  <si>
    <t xml:space="preserve">HWOUT2frequency(share with bypass)          </t>
  </si>
  <si>
    <t>pStarrySkyLightEnable</t>
  </si>
  <si>
    <t>星空灯配置</t>
  </si>
  <si>
    <t>0 means Starry sky light function disabled, 1: Starry sky light function enabled</t>
  </si>
  <si>
    <t>pBypassFunctionDefinition</t>
  </si>
  <si>
    <t>CH1Bypass功能定义</t>
  </si>
  <si>
    <t>0 means Function,Used in series with CH1, 1: Only for switch</t>
  </si>
  <si>
    <r>
      <rPr>
        <sz val="11"/>
        <color theme="1"/>
        <rFont val="等线"/>
        <charset val="134"/>
        <scheme val="minor"/>
      </rPr>
      <t>e</t>
    </r>
    <r>
      <rPr>
        <sz val="11"/>
        <color theme="1"/>
        <rFont val="等线"/>
        <charset val="134"/>
        <scheme val="minor"/>
      </rPr>
      <t>xcel函数</t>
    </r>
  </si>
  <si>
    <r>
      <rPr>
        <sz val="11"/>
        <color theme="1"/>
        <rFont val="等线"/>
        <charset val="134"/>
        <scheme val="minor"/>
      </rPr>
      <t>ConTiPrm＞OffsTiPm，设置</t>
    </r>
    <r>
      <rPr>
        <sz val="11"/>
        <color theme="1"/>
        <rFont val="等线"/>
        <charset val="134"/>
        <scheme val="minor"/>
      </rPr>
      <t>ConTiPrm＜OffsTiPm，ConTiPrm标红，整列设置</t>
    </r>
  </si>
  <si>
    <t>Picture name</t>
  </si>
  <si>
    <t>PICTURE</t>
  </si>
  <si>
    <t xml:space="preserve">
LED Temperature derating</t>
  </si>
  <si>
    <t>There are five temperature thresholds which are considered as follows:
Note: #N is the channel index (0 - 11).</t>
  </si>
  <si>
    <t xml:space="preserve">
ECU Temperature derating</t>
  </si>
  <si>
    <t xml:space="preserve">There are five temperature thresholds which are considered as follows:
</t>
  </si>
  <si>
    <t xml:space="preserve">
Supply High Voltage Derating</t>
  </si>
  <si>
    <t xml:space="preserve">There are three voltage thresholds which are considered as follows:
</t>
  </si>
  <si>
    <t xml:space="preserve">
FAN:
LED cooling</t>
  </si>
  <si>
    <t>If control pin is available and RPM control is allowed (pFanControlPin#n = "Yes [RPM allowed]"), then linear RPM control shall be performed between temperatures defined by parameters pFanCoolLedTempLo and pFanCoolLedTempHi.
If control pin is not available or RPM control is not allowed (pFanControlPin#n = "No" or pFanControlPin#n = "Yes [RPM not allowed]"), then parameters pFanCoolLedTempHi, pFanCoolPowerLo and pFanCoolPowerHi shall be disregarded. The FAN shall be controlled ON/OFF.</t>
  </si>
  <si>
    <t xml:space="preserve">
FAN:
Defogging</t>
  </si>
  <si>
    <t>If control pin is available and RPM control is allowed (pFanControlPin#n = "Yes [RPM allowed]"), then linear RPM control shall be performed between temperatures defined by parameters pFanDefAmbTempLo and pFanDefAmbTempHi.
If control pin is not available or RPM control is not allowed (pFanControlPin#n = "No" or pFanControlPin#n = "Yes [RPM not allowed]"), then parameters pFanDefAmbTempLo, pFanDefPowerLo and pFanDefPowerHi shall be disregarded. The FAN shall be controlled ON/OFF.</t>
  </si>
  <si>
    <t xml:space="preserve">
FAN:
Deicing</t>
  </si>
  <si>
    <t>If control pin is available and RPM control is allowed (pFanControlPin#n = "Yes [RPM allowed]"), then linear RPM control shall be performed between temperatures defined by parameters pFanDeiAmbTempLo and pFanDeiAmbTempHi.
If control pin is not available or RPM control is not allowed (pFanControlPin#n = "No" or pFanControlPin#n = "Yes [RPM not allowed]"), then parameters pFanDeiAmbTempLo, pFanDeiPowerLo and pFanDeiPowerHi shall be disregarded. The FAN shall be controlled ON/OFF.</t>
  </si>
  <si>
    <t xml:space="preserve">
Motor pins polarity sequence</t>
  </si>
  <si>
    <t>This shows the relation between the signals sequence applied to motor pins and the beam direction.
For leveling motor the sequence is coded by parameter pLvlPolSeq:
- pLvlPolSeq = 1: sequence 1 shall move the beam downward;
- pLvlPolSeq = 2: sequence 2 shall move the beam downward;
For swiveling motor the sequence is coded by parameter pSvlPolSeq:
- pSvlPolSeq = 1: sequence 1 shall move the beam leftward;
- pSvlPolSeq = 2: sequence 2 shall move the beam leftward;</t>
  </si>
  <si>
    <t xml:space="preserve">
Usage of parameters:
pLedMinIntensityPos
pLedMinIntensityDrl
pLedMinIntensityBeam</t>
  </si>
  <si>
    <t>The purpose of these parameters is to synchronise channels mapped on the same function in the range where intensity* is very low**. Within this range is possible that one channel ceases to lit while other channels still do. This is likely to happen when at least one channel uses a different LED type.
A parameter define a minimum intensity level for all channels mapped on corresponding function. Considering that each channel has a intensity* threshold below which it does not lit, the value of the parameter must be slightly higher than the maximum of the thresholds.
Example: position light; mapped on channels  5 and 6; channel 5 has threshold at 0.02%, channel 6 has threshold at 0.03% =&gt; pLedMinIntesityPos must be &gt; 0.03%.
The picture shows how a parameter affects output intensity when ramps are used.
* - intensity is regarded from HCM point of view and translates into output current (combination of peak current and PWM duty cycle).
** - the peak current is set to minimum (100 mA), frequency is 125 Hz and on_time &lt; 100 us.</t>
  </si>
  <si>
    <t>Values</t>
  </si>
  <si>
    <t>Bits</t>
  </si>
  <si>
    <t>Comment</t>
  </si>
  <si>
    <r>
      <rPr>
        <b/>
        <sz val="9"/>
        <color rgb="FFFF0000"/>
        <rFont val="Calibri"/>
        <charset val="134"/>
      </rPr>
      <t>pLedChToNtc</t>
    </r>
    <r>
      <rPr>
        <b/>
        <sz val="9"/>
        <color theme="1"/>
        <rFont val="Calibri"/>
        <charset val="134"/>
      </rPr>
      <t xml:space="preserve">#N
</t>
    </r>
    <r>
      <rPr>
        <sz val="9"/>
        <color theme="1"/>
        <rFont val="Calibri"/>
        <charset val="134"/>
      </rPr>
      <t>(channel to NTC)</t>
    </r>
  </si>
  <si>
    <t>NA (No NTC)</t>
  </si>
  <si>
    <t>This shows the meanings of values the parameter pLedChToNtc#N may have.
Parameter pLedChToNtc#N shall take one of defined values.
(pLedChToNtc#n - 1) may be the index of the pNtcType#N.
N = 0 &lt;=&gt; Channel 1
...
N = 7 &lt;=&gt; Channel8… Channel 12</t>
  </si>
  <si>
    <t>NTC 1</t>
  </si>
  <si>
    <t>NTC 2</t>
  </si>
  <si>
    <t>NTC 3</t>
  </si>
  <si>
    <t>NTC 4</t>
  </si>
  <si>
    <t>NTC 5</t>
  </si>
  <si>
    <t>Matrix NTC1</t>
  </si>
  <si>
    <t>Matrix NTC2</t>
  </si>
  <si>
    <r>
      <rPr>
        <b/>
        <sz val="9"/>
        <color rgb="FFFF0000"/>
        <rFont val="Calibri"/>
        <charset val="134"/>
      </rPr>
      <t>pNtcType</t>
    </r>
    <r>
      <rPr>
        <b/>
        <sz val="9"/>
        <color theme="1"/>
        <rFont val="Calibri"/>
        <charset val="134"/>
      </rPr>
      <t>#N</t>
    </r>
  </si>
  <si>
    <t>This shows the meanings of values the parameter pNtcType#N may have.
Parameter pNtcType#N shall take one of defined values.
(pNtcType#n - 1) may be the first index of the pNtcIndTemp#Z#V.
N = 0 &lt;=&gt; NTC 1
...
N = 4 &lt;=&gt; NTC 5
Type6 is matrix NTC1, Type 7 is matrix NTC2</t>
  </si>
  <si>
    <t>type 1</t>
  </si>
  <si>
    <t>type 2</t>
  </si>
  <si>
    <t>type 3</t>
  </si>
  <si>
    <t>type 4</t>
  </si>
  <si>
    <t>type 5</t>
  </si>
  <si>
    <t>type 6（Matrix NTC Type1）</t>
  </si>
  <si>
    <t>type 7（Matrix NTC Type2）</t>
  </si>
  <si>
    <t>other</t>
  </si>
  <si>
    <t>invalid</t>
  </si>
  <si>
    <r>
      <rPr>
        <b/>
        <sz val="9"/>
        <color rgb="FFFF0000"/>
        <rFont val="Calibri"/>
        <charset val="134"/>
      </rPr>
      <t>pFanDiagInputType</t>
    </r>
    <r>
      <rPr>
        <b/>
        <sz val="9"/>
        <rFont val="Calibri"/>
        <charset val="134"/>
      </rPr>
      <t>#N</t>
    </r>
  </si>
  <si>
    <t>no diag pin available</t>
  </si>
  <si>
    <t>This shows the meanings of values the parameter pFanDiagInputType#N may have.
Parameter pFanDiagInputType#N shall take one of defined values.
N = 0 &lt;=&gt; FAN 1
N = 1 &lt;=&gt; FAN 2</t>
  </si>
  <si>
    <t>logical input: error is active on 0L</t>
  </si>
  <si>
    <t>logical input: error is active on 1L</t>
  </si>
  <si>
    <t>fixed frequency input, error active on 0L or 1L;</t>
  </si>
  <si>
    <t>variable frequency input (FAN Speed), error active on 0L or 1L;</t>
  </si>
  <si>
    <r>
      <rPr>
        <b/>
        <sz val="9"/>
        <color rgb="FFFF0000"/>
        <rFont val="Calibri"/>
        <charset val="134"/>
      </rPr>
      <t>pFanOnLedCh</t>
    </r>
    <r>
      <rPr>
        <b/>
        <sz val="9"/>
        <rFont val="Calibri"/>
        <charset val="134"/>
      </rPr>
      <t>#G</t>
    </r>
  </si>
  <si>
    <t>Channel 1</t>
  </si>
  <si>
    <t>This shows the associated channel to each bit of parameter pFanOnLedCh#G.
G = 0…15</t>
  </si>
  <si>
    <t>Channel 2</t>
  </si>
  <si>
    <t>Channel 3</t>
  </si>
  <si>
    <t>Channel 4</t>
  </si>
  <si>
    <t>Channel 5</t>
  </si>
  <si>
    <t>Channel 6</t>
  </si>
  <si>
    <t>Channel 7</t>
  </si>
  <si>
    <t>Channel 8</t>
  </si>
  <si>
    <t>Channel 9</t>
  </si>
  <si>
    <t>Channel 10</t>
  </si>
  <si>
    <t>Channel 11</t>
  </si>
  <si>
    <t>Channel 12</t>
  </si>
  <si>
    <t>pFanDefLightFct
pFanDeiLightFct</t>
  </si>
  <si>
    <t>NA (defogging/deicing not active)</t>
  </si>
  <si>
    <t>This shows the meanings of values the parameter pFanDefLightFct/pFanDeiLightFct may have.
Parameter pFanDefLightFct/pFanDeiLightFct shall take one of defined values.</t>
  </si>
  <si>
    <t>LB</t>
  </si>
  <si>
    <t>DRL or LB</t>
  </si>
  <si>
    <t>Independent of light function</t>
  </si>
  <si>
    <t>pLvlStepMode
pSvlStepMode</t>
  </si>
  <si>
    <t>1/4</t>
  </si>
  <si>
    <t>This shows the meanings of values the parameter pLvlStepMode/pSvlStepMode may have.
Parameter pLvlStepMode/pSvlStepMode shall take one of defined values.</t>
  </si>
  <si>
    <t>1/8</t>
  </si>
  <si>
    <t>1/16</t>
  </si>
  <si>
    <t>1/32</t>
  </si>
</sst>
</file>

<file path=xl/styles.xml><?xml version="1.0" encoding="utf-8"?>
<styleSheet xmlns="http://schemas.openxmlformats.org/spreadsheetml/2006/main">
  <numFmts count="10">
    <numFmt numFmtId="42" formatCode="_ &quot;￥&quot;* #,##0_ ;_ &quot;￥&quot;* \-#,##0_ ;_ &quot;￥&quot;* &quot;-&quot;_ ;_ @_ "/>
    <numFmt numFmtId="176" formatCode="0_ "/>
    <numFmt numFmtId="177" formatCode="0.0_ "/>
    <numFmt numFmtId="44" formatCode="_ &quot;￥&quot;* #,##0.00_ ;_ &quot;￥&quot;* \-#,##0.00_ ;_ &quot;￥&quot;* &quot;-&quot;??_ ;_ @_ "/>
    <numFmt numFmtId="41" formatCode="_ * #,##0_ ;_ * \-#,##0_ ;_ * &quot;-&quot;_ ;_ @_ "/>
    <numFmt numFmtId="43" formatCode="_ * #,##0.00_ ;_ * \-#,##0.00_ ;_ * &quot;-&quot;??_ ;_ @_ "/>
    <numFmt numFmtId="178" formatCode="0.0"/>
    <numFmt numFmtId="179" formatCode="#,##0_ "/>
    <numFmt numFmtId="180" formatCode="#,##0.0_ "/>
    <numFmt numFmtId="181" formatCode="yyyy/m/d;@"/>
  </numFmts>
  <fonts count="74">
    <font>
      <sz val="11"/>
      <color theme="1"/>
      <name val="等线"/>
      <charset val="134"/>
      <scheme val="minor"/>
    </font>
    <font>
      <sz val="9"/>
      <color theme="1"/>
      <name val="等线"/>
      <charset val="134"/>
      <scheme val="minor"/>
    </font>
    <font>
      <b/>
      <sz val="9"/>
      <color theme="1"/>
      <name val="等线"/>
      <charset val="134"/>
      <scheme val="minor"/>
    </font>
    <font>
      <b/>
      <sz val="9"/>
      <color theme="1"/>
      <name val="Calibri"/>
      <charset val="134"/>
    </font>
    <font>
      <sz val="9"/>
      <color theme="1"/>
      <name val="Calibri"/>
      <charset val="134"/>
    </font>
    <font>
      <sz val="11"/>
      <color theme="1"/>
      <name val="等线"/>
      <charset val="134"/>
      <scheme val="minor"/>
    </font>
    <font>
      <b/>
      <sz val="9"/>
      <color rgb="FFFF0000"/>
      <name val="Calibri"/>
      <charset val="134"/>
    </font>
    <font>
      <b/>
      <sz val="9"/>
      <name val="Calibri"/>
      <charset val="134"/>
    </font>
    <font>
      <sz val="9"/>
      <color rgb="FFFF0000"/>
      <name val="等线"/>
      <charset val="134"/>
      <scheme val="minor"/>
    </font>
    <font>
      <b/>
      <sz val="11"/>
      <color theme="1"/>
      <name val="等线"/>
      <charset val="134"/>
      <scheme val="minor"/>
    </font>
    <font>
      <sz val="11"/>
      <color theme="1"/>
      <name val="微软雅黑"/>
      <charset val="134"/>
    </font>
    <font>
      <sz val="9"/>
      <color theme="1"/>
      <name val="微软雅黑"/>
      <charset val="134"/>
    </font>
    <font>
      <b/>
      <sz val="14"/>
      <color theme="1"/>
      <name val="微软雅黑"/>
      <charset val="134"/>
    </font>
    <font>
      <b/>
      <sz val="11"/>
      <color theme="1"/>
      <name val="微软雅黑"/>
      <charset val="134"/>
    </font>
    <font>
      <sz val="11"/>
      <name val="微软雅黑"/>
      <charset val="134"/>
    </font>
    <font>
      <sz val="11"/>
      <color rgb="FFFF0000"/>
      <name val="微软雅黑"/>
      <charset val="134"/>
    </font>
    <font>
      <sz val="8"/>
      <name val="微软雅黑"/>
      <charset val="134"/>
    </font>
    <font>
      <strike/>
      <sz val="9"/>
      <color theme="1"/>
      <name val="微软雅黑"/>
      <charset val="134"/>
    </font>
    <font>
      <strike/>
      <sz val="11"/>
      <color theme="1"/>
      <name val="微软雅黑"/>
      <charset val="134"/>
    </font>
    <font>
      <b/>
      <sz val="9"/>
      <color theme="1"/>
      <name val="微软雅黑"/>
      <charset val="134"/>
    </font>
    <font>
      <sz val="12"/>
      <color theme="1"/>
      <name val="等线"/>
      <charset val="134"/>
      <scheme val="minor"/>
    </font>
    <font>
      <b/>
      <sz val="14"/>
      <color rgb="FFFF0000"/>
      <name val="等线"/>
      <charset val="134"/>
      <scheme val="minor"/>
    </font>
    <font>
      <sz val="11"/>
      <name val="等线"/>
      <charset val="134"/>
      <scheme val="minor"/>
    </font>
    <font>
      <sz val="10"/>
      <color theme="1"/>
      <name val="等线"/>
      <charset val="134"/>
      <scheme val="minor"/>
    </font>
    <font>
      <sz val="9"/>
      <name val="微软雅黑"/>
      <charset val="134"/>
    </font>
    <font>
      <sz val="9"/>
      <color rgb="FFFF0000"/>
      <name val="微软雅黑"/>
      <charset val="134"/>
    </font>
    <font>
      <b/>
      <sz val="11"/>
      <name val="微软雅黑"/>
      <charset val="134"/>
    </font>
    <font>
      <b/>
      <sz val="11"/>
      <color theme="4"/>
      <name val="微软雅黑"/>
      <charset val="134"/>
    </font>
    <font>
      <sz val="9"/>
      <color indexed="8"/>
      <name val="微软雅黑"/>
      <charset val="134"/>
    </font>
    <font>
      <b/>
      <sz val="14"/>
      <color theme="1"/>
      <name val="等线"/>
      <charset val="134"/>
      <scheme val="minor"/>
    </font>
    <font>
      <b/>
      <sz val="8"/>
      <color theme="1"/>
      <name val="微软雅黑"/>
      <charset val="134"/>
    </font>
    <font>
      <sz val="8"/>
      <color theme="1"/>
      <name val="Arial"/>
      <charset val="134"/>
    </font>
    <font>
      <sz val="8"/>
      <color theme="1"/>
      <name val="微软雅黑"/>
      <charset val="134"/>
    </font>
    <font>
      <b/>
      <sz val="8"/>
      <color rgb="FFC90707"/>
      <name val="微软雅黑"/>
      <charset val="134"/>
    </font>
    <font>
      <b/>
      <sz val="11"/>
      <color rgb="FFFF0000"/>
      <name val="微软雅黑"/>
      <charset val="134"/>
    </font>
    <font>
      <sz val="10"/>
      <name val="微软雅黑"/>
      <charset val="134"/>
    </font>
    <font>
      <sz val="10"/>
      <color theme="1"/>
      <name val="微软雅黑"/>
      <charset val="134"/>
    </font>
    <font>
      <sz val="10"/>
      <color rgb="FFFF0000"/>
      <name val="微软雅黑"/>
      <charset val="134"/>
    </font>
    <font>
      <sz val="16"/>
      <color theme="1"/>
      <name val="等线"/>
      <charset val="134"/>
      <scheme val="minor"/>
    </font>
    <font>
      <sz val="14"/>
      <color theme="1"/>
      <name val="等线"/>
      <charset val="134"/>
      <scheme val="minor"/>
    </font>
    <font>
      <sz val="10"/>
      <name val="等线"/>
      <charset val="134"/>
      <scheme val="minor"/>
    </font>
    <font>
      <sz val="11"/>
      <name val="Arial"/>
      <charset val="134"/>
    </font>
    <font>
      <b/>
      <sz val="10"/>
      <name val="Arial"/>
      <charset val="134"/>
    </font>
    <font>
      <sz val="10"/>
      <name val="Arial"/>
      <charset val="134"/>
    </font>
    <font>
      <sz val="10"/>
      <name val="Arial (W1)"/>
      <charset val="134"/>
    </font>
    <font>
      <sz val="10"/>
      <name val="宋体"/>
      <charset val="134"/>
    </font>
    <font>
      <b/>
      <sz val="10"/>
      <name val="微软雅黑"/>
      <charset val="134"/>
    </font>
    <font>
      <sz val="12"/>
      <name val="宋体"/>
      <charset val="134"/>
    </font>
    <font>
      <sz val="11"/>
      <name val="宋体"/>
      <charset val="134"/>
    </font>
    <font>
      <sz val="11"/>
      <color theme="1"/>
      <name val="等线"/>
      <charset val="0"/>
      <scheme val="minor"/>
    </font>
    <font>
      <sz val="11"/>
      <color theme="0"/>
      <name val="等线"/>
      <charset val="0"/>
      <scheme val="minor"/>
    </font>
    <font>
      <sz val="11"/>
      <color rgb="FFFA7D00"/>
      <name val="等线"/>
      <charset val="0"/>
      <scheme val="minor"/>
    </font>
    <font>
      <b/>
      <sz val="13"/>
      <color theme="3"/>
      <name val="等线"/>
      <charset val="134"/>
      <scheme val="minor"/>
    </font>
    <font>
      <sz val="11"/>
      <color rgb="FFFF0000"/>
      <name val="等线"/>
      <charset val="0"/>
      <scheme val="minor"/>
    </font>
    <font>
      <i/>
      <sz val="11"/>
      <color rgb="FF7F7F7F"/>
      <name val="等线"/>
      <charset val="0"/>
      <scheme val="minor"/>
    </font>
    <font>
      <b/>
      <sz val="11"/>
      <color theme="3"/>
      <name val="等线"/>
      <charset val="134"/>
      <scheme val="minor"/>
    </font>
    <font>
      <u/>
      <sz val="11"/>
      <color rgb="FF800080"/>
      <name val="等线"/>
      <charset val="0"/>
      <scheme val="minor"/>
    </font>
    <font>
      <sz val="11"/>
      <color rgb="FF9C0006"/>
      <name val="等线"/>
      <charset val="0"/>
      <scheme val="minor"/>
    </font>
    <font>
      <b/>
      <sz val="11"/>
      <color rgb="FFFFFFFF"/>
      <name val="等线"/>
      <charset val="0"/>
      <scheme val="minor"/>
    </font>
    <font>
      <b/>
      <sz val="18"/>
      <color theme="3"/>
      <name val="等线"/>
      <charset val="134"/>
      <scheme val="minor"/>
    </font>
    <font>
      <u/>
      <sz val="11"/>
      <color rgb="FF0000FF"/>
      <name val="等线"/>
      <charset val="0"/>
      <scheme val="minor"/>
    </font>
    <font>
      <sz val="11"/>
      <color rgb="FF3F3F76"/>
      <name val="等线"/>
      <charset val="0"/>
      <scheme val="minor"/>
    </font>
    <font>
      <sz val="11"/>
      <color rgb="FF9C6500"/>
      <name val="等线"/>
      <charset val="0"/>
      <scheme val="minor"/>
    </font>
    <font>
      <b/>
      <sz val="15"/>
      <color theme="3"/>
      <name val="等线"/>
      <charset val="134"/>
      <scheme val="minor"/>
    </font>
    <font>
      <b/>
      <sz val="11"/>
      <color theme="1"/>
      <name val="等线"/>
      <charset val="0"/>
      <scheme val="minor"/>
    </font>
    <font>
      <b/>
      <sz val="11"/>
      <color rgb="FF3F3F3F"/>
      <name val="等线"/>
      <charset val="0"/>
      <scheme val="minor"/>
    </font>
    <font>
      <sz val="11"/>
      <color rgb="FF006100"/>
      <name val="等线"/>
      <charset val="0"/>
      <scheme val="minor"/>
    </font>
    <font>
      <b/>
      <sz val="11"/>
      <color rgb="FFFA7D00"/>
      <name val="等线"/>
      <charset val="0"/>
      <scheme val="minor"/>
    </font>
    <font>
      <sz val="10"/>
      <name val="宋体"/>
      <charset val="134"/>
    </font>
    <font>
      <sz val="9"/>
      <name val="宋体"/>
      <charset val="134"/>
    </font>
    <font>
      <sz val="9"/>
      <name val="Malgun Gothic Semilight"/>
      <charset val="134"/>
    </font>
    <font>
      <sz val="9"/>
      <name val="Tahoma"/>
      <charset val="134"/>
    </font>
    <font>
      <b/>
      <sz val="9"/>
      <name val="Tahoma"/>
      <charset val="134"/>
    </font>
    <font>
      <b/>
      <sz val="9"/>
      <name val="宋体"/>
      <charset val="134"/>
    </font>
  </fonts>
  <fills count="55">
    <fill>
      <patternFill patternType="none"/>
    </fill>
    <fill>
      <patternFill patternType="gray125"/>
    </fill>
    <fill>
      <patternFill patternType="solid">
        <fgColor theme="7" tint="0.399731437116611"/>
        <bgColor indexed="64"/>
      </patternFill>
    </fill>
    <fill>
      <patternFill patternType="solid">
        <fgColor rgb="FF00B050"/>
        <bgColor indexed="64"/>
      </patternFill>
    </fill>
    <fill>
      <patternFill patternType="solid">
        <fgColor theme="9" tint="0.599993896298105"/>
        <bgColor indexed="64"/>
      </patternFill>
    </fill>
    <fill>
      <patternFill patternType="solid">
        <fgColor theme="0"/>
        <bgColor indexed="64"/>
      </patternFill>
    </fill>
    <fill>
      <patternFill patternType="solid">
        <fgColor theme="4" tint="0.399731437116611"/>
        <bgColor indexed="64"/>
      </patternFill>
    </fill>
    <fill>
      <patternFill patternType="solid">
        <fgColor rgb="FFFFFF00"/>
        <bgColor indexed="64"/>
      </patternFill>
    </fill>
    <fill>
      <patternFill patternType="solid">
        <fgColor theme="7" tint="0.799829096346934"/>
        <bgColor indexed="64"/>
      </patternFill>
    </fill>
    <fill>
      <patternFill patternType="solid">
        <fgColor rgb="FFFFC000"/>
        <bgColor indexed="64"/>
      </patternFill>
    </fill>
    <fill>
      <patternFill patternType="solid">
        <fgColor theme="7" tint="0.799890133365886"/>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0" tint="-0.149693288979766"/>
        <bgColor indexed="64"/>
      </patternFill>
    </fill>
    <fill>
      <patternFill patternType="solid">
        <fgColor theme="0" tint="-0.149754325998718"/>
        <bgColor indexed="64"/>
      </patternFill>
    </fill>
    <fill>
      <patternFill patternType="solid">
        <fgColor theme="0" tint="-0.149723807489242"/>
        <bgColor indexed="64"/>
      </patternFill>
    </fill>
    <fill>
      <patternFill patternType="solid">
        <fgColor theme="0" tint="-0.149876400036622"/>
        <bgColor indexed="64"/>
      </patternFill>
    </fill>
    <fill>
      <patternFill patternType="solid">
        <fgColor theme="4" tint="0.399761955626087"/>
        <bgColor indexed="64"/>
      </patternFill>
    </fill>
    <fill>
      <patternFill patternType="solid">
        <fgColor theme="4" tint="0.399853511154515"/>
        <bgColor indexed="64"/>
      </patternFill>
    </fill>
    <fill>
      <patternFill patternType="solid">
        <fgColor theme="4" tint="0.399884029663991"/>
        <bgColor indexed="64"/>
      </patternFill>
    </fill>
    <fill>
      <patternFill patternType="solid">
        <fgColor theme="4" tint="0.399914548173467"/>
        <bgColor indexed="64"/>
      </patternFill>
    </fill>
    <fill>
      <patternFill patternType="solid">
        <fgColor rgb="FFFF0000"/>
        <bgColor indexed="64"/>
      </patternFill>
    </fill>
    <fill>
      <patternFill patternType="solid">
        <fgColor theme="5" tint="0.399731437116611"/>
        <bgColor indexed="64"/>
      </patternFill>
    </fill>
    <fill>
      <patternFill patternType="solid">
        <fgColor indexed="22"/>
        <bgColor indexed="64"/>
      </patternFill>
    </fill>
    <fill>
      <patternFill patternType="solid">
        <fgColor theme="8" tint="0.599993896298105"/>
        <bgColor indexed="64"/>
      </patternFill>
    </fill>
    <fill>
      <patternFill patternType="solid">
        <fgColor theme="8"/>
        <bgColor indexed="64"/>
      </patternFill>
    </fill>
    <fill>
      <patternFill patternType="solid">
        <fgColor theme="7"/>
        <bgColor indexed="64"/>
      </patternFill>
    </fill>
    <fill>
      <patternFill patternType="solid">
        <fgColor theme="4" tint="0.799981688894314"/>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rgb="FFFFC7CE"/>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rgb="FFA5A5A5"/>
        <bgColor indexed="64"/>
      </patternFill>
    </fill>
    <fill>
      <patternFill patternType="solid">
        <fgColor rgb="FFFFCC99"/>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rgb="FFFFEB9C"/>
        <bgColor indexed="64"/>
      </patternFill>
    </fill>
    <fill>
      <patternFill patternType="solid">
        <fgColor theme="7" tint="0.399975585192419"/>
        <bgColor indexed="64"/>
      </patternFill>
    </fill>
    <fill>
      <patternFill patternType="solid">
        <fgColor rgb="FFFFFFCC"/>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4"/>
        <bgColor indexed="64"/>
      </patternFill>
    </fill>
    <fill>
      <patternFill patternType="solid">
        <fgColor rgb="FFF2F2F2"/>
        <bgColor indexed="64"/>
      </patternFill>
    </fill>
    <fill>
      <patternFill patternType="solid">
        <fgColor theme="6" tint="0.399975585192419"/>
        <bgColor indexed="64"/>
      </patternFill>
    </fill>
    <fill>
      <patternFill patternType="solid">
        <fgColor rgb="FFC6EFCE"/>
        <bgColor indexed="64"/>
      </patternFill>
    </fill>
    <fill>
      <patternFill patternType="solid">
        <fgColor theme="5"/>
        <bgColor indexed="64"/>
      </patternFill>
    </fill>
    <fill>
      <patternFill patternType="solid">
        <fgColor theme="5" tint="0.399975585192419"/>
        <bgColor indexed="64"/>
      </patternFill>
    </fill>
    <fill>
      <patternFill patternType="solid">
        <fgColor theme="9"/>
        <bgColor indexed="64"/>
      </patternFill>
    </fill>
    <fill>
      <patternFill patternType="solid">
        <fgColor theme="6"/>
        <bgColor indexed="64"/>
      </patternFill>
    </fill>
    <fill>
      <patternFill patternType="solid">
        <fgColor theme="9" tint="0.799981688894314"/>
        <bgColor indexed="64"/>
      </patternFill>
    </fill>
  </fills>
  <borders count="65">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medium">
        <color auto="1"/>
      </right>
      <top/>
      <bottom/>
      <diagonal/>
    </border>
    <border>
      <left style="thin">
        <color auto="1"/>
      </left>
      <right/>
      <top style="thin">
        <color auto="1"/>
      </top>
      <bottom style="thin">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top style="medium">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style="medium">
        <color auto="1"/>
      </left>
      <right/>
      <top style="medium">
        <color auto="1"/>
      </top>
      <bottom/>
      <diagonal/>
    </border>
    <border>
      <left style="medium">
        <color auto="1"/>
      </left>
      <right/>
      <top style="thin">
        <color auto="1"/>
      </top>
      <bottom style="thin">
        <color auto="1"/>
      </bottom>
      <diagonal/>
    </border>
    <border>
      <left/>
      <right style="medium">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right style="medium">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style="medium">
        <color auto="1"/>
      </left>
      <right/>
      <top/>
      <bottom style="thin">
        <color auto="1"/>
      </bottom>
      <diagonal/>
    </border>
    <border>
      <left/>
      <right style="thin">
        <color auto="1"/>
      </right>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right style="thin">
        <color auto="1"/>
      </right>
      <top/>
      <bottom/>
      <diagonal/>
    </border>
    <border diagonalDown="1">
      <left style="thin">
        <color auto="1"/>
      </left>
      <right style="thin">
        <color auto="1"/>
      </right>
      <top style="thin">
        <color auto="1"/>
      </top>
      <bottom style="thin">
        <color auto="1"/>
      </bottom>
      <diagonal style="thin">
        <color auto="1"/>
      </diagonal>
    </border>
    <border>
      <left/>
      <right style="thin">
        <color auto="1"/>
      </right>
      <top style="medium">
        <color auto="1"/>
      </top>
      <bottom style="thin">
        <color auto="1"/>
      </bottom>
      <diagonal/>
    </border>
    <border>
      <left style="medium">
        <color auto="1"/>
      </left>
      <right style="medium">
        <color auto="1"/>
      </right>
      <top/>
      <bottom/>
      <diagonal/>
    </border>
    <border>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medium">
        <color auto="1"/>
      </bottom>
      <diagonal/>
    </border>
    <border>
      <left/>
      <right/>
      <top style="thin">
        <color auto="1"/>
      </top>
      <bottom style="medium">
        <color auto="1"/>
      </bottom>
      <diagonal/>
    </border>
    <border>
      <left/>
      <right/>
      <top/>
      <bottom style="double">
        <color rgb="FFFF8001"/>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5">
    <xf numFmtId="0" fontId="0" fillId="0" borderId="0"/>
    <xf numFmtId="42" fontId="0" fillId="0" borderId="0" applyFont="0" applyFill="0" applyBorder="0" applyAlignment="0" applyProtection="0">
      <alignment vertical="center"/>
    </xf>
    <xf numFmtId="0" fontId="49" fillId="44" borderId="0" applyNumberFormat="0" applyBorder="0" applyAlignment="0" applyProtection="0">
      <alignment vertical="center"/>
    </xf>
    <xf numFmtId="0" fontId="61" fillId="35" borderId="6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9" fillId="36" borderId="0" applyNumberFormat="0" applyBorder="0" applyAlignment="0" applyProtection="0">
      <alignment vertical="center"/>
    </xf>
    <xf numFmtId="0" fontId="57" fillId="31" borderId="0" applyNumberFormat="0" applyBorder="0" applyAlignment="0" applyProtection="0">
      <alignment vertical="center"/>
    </xf>
    <xf numFmtId="43" fontId="0" fillId="0" borderId="0" applyFont="0" applyFill="0" applyBorder="0" applyAlignment="0" applyProtection="0">
      <alignment vertical="center"/>
    </xf>
    <xf numFmtId="0" fontId="50" fillId="48" borderId="0" applyNumberFormat="0" applyBorder="0" applyAlignment="0" applyProtection="0">
      <alignment vertical="center"/>
    </xf>
    <xf numFmtId="0" fontId="60" fillId="0" borderId="0" applyNumberFormat="0" applyFill="0" applyBorder="0" applyAlignment="0" applyProtection="0">
      <alignment vertical="center"/>
    </xf>
    <xf numFmtId="9" fontId="0" fillId="0" borderId="0" applyFont="0" applyFill="0" applyBorder="0" applyAlignment="0" applyProtection="0">
      <alignment vertical="center"/>
    </xf>
    <xf numFmtId="0" fontId="56" fillId="0" borderId="0" applyNumberFormat="0" applyFill="0" applyBorder="0" applyAlignment="0" applyProtection="0">
      <alignment vertical="center"/>
    </xf>
    <xf numFmtId="0" fontId="0" fillId="40" borderId="62" applyNumberFormat="0" applyFont="0" applyAlignment="0" applyProtection="0">
      <alignment vertical="center"/>
    </xf>
    <xf numFmtId="0" fontId="50" fillId="51" borderId="0" applyNumberFormat="0" applyBorder="0" applyAlignment="0" applyProtection="0">
      <alignment vertical="center"/>
    </xf>
    <xf numFmtId="0" fontId="55"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9"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3" fillId="0" borderId="58" applyNumberFormat="0" applyFill="0" applyAlignment="0" applyProtection="0">
      <alignment vertical="center"/>
    </xf>
    <xf numFmtId="0" fontId="52" fillId="0" borderId="58" applyNumberFormat="0" applyFill="0" applyAlignment="0" applyProtection="0">
      <alignment vertical="center"/>
    </xf>
    <xf numFmtId="0" fontId="50" fillId="30" borderId="0" applyNumberFormat="0" applyBorder="0" applyAlignment="0" applyProtection="0">
      <alignment vertical="center"/>
    </xf>
    <xf numFmtId="0" fontId="55" fillId="0" borderId="60" applyNumberFormat="0" applyFill="0" applyAlignment="0" applyProtection="0">
      <alignment vertical="center"/>
    </xf>
    <xf numFmtId="0" fontId="50" fillId="39" borderId="0" applyNumberFormat="0" applyBorder="0" applyAlignment="0" applyProtection="0">
      <alignment vertical="center"/>
    </xf>
    <xf numFmtId="0" fontId="65" fillId="47" borderId="64" applyNumberFormat="0" applyAlignment="0" applyProtection="0">
      <alignment vertical="center"/>
    </xf>
    <xf numFmtId="0" fontId="67" fillId="47" borderId="61" applyNumberFormat="0" applyAlignment="0" applyProtection="0">
      <alignment vertical="center"/>
    </xf>
    <xf numFmtId="0" fontId="58" fillId="34" borderId="59" applyNumberFormat="0" applyAlignment="0" applyProtection="0">
      <alignment vertical="center"/>
    </xf>
    <xf numFmtId="0" fontId="49" fillId="54" borderId="0" applyNumberFormat="0" applyBorder="0" applyAlignment="0" applyProtection="0">
      <alignment vertical="center"/>
    </xf>
    <xf numFmtId="0" fontId="50" fillId="50" borderId="0" applyNumberFormat="0" applyBorder="0" applyAlignment="0" applyProtection="0">
      <alignment vertical="center"/>
    </xf>
    <xf numFmtId="0" fontId="51" fillId="0" borderId="57" applyNumberFormat="0" applyFill="0" applyAlignment="0" applyProtection="0">
      <alignment vertical="center"/>
    </xf>
    <xf numFmtId="0" fontId="64" fillId="0" borderId="63" applyNumberFormat="0" applyFill="0" applyAlignment="0" applyProtection="0">
      <alignment vertical="center"/>
    </xf>
    <xf numFmtId="0" fontId="66" fillId="49" borderId="0" applyNumberFormat="0" applyBorder="0" applyAlignment="0" applyProtection="0">
      <alignment vertical="center"/>
    </xf>
    <xf numFmtId="0" fontId="62" fillId="38" borderId="0" applyNumberFormat="0" applyBorder="0" applyAlignment="0" applyProtection="0">
      <alignment vertical="center"/>
    </xf>
    <xf numFmtId="0" fontId="49" fillId="43" borderId="0" applyNumberFormat="0" applyBorder="0" applyAlignment="0" applyProtection="0">
      <alignment vertical="center"/>
    </xf>
    <xf numFmtId="0" fontId="50" fillId="46" borderId="0" applyNumberFormat="0" applyBorder="0" applyAlignment="0" applyProtection="0">
      <alignment vertical="center"/>
    </xf>
    <xf numFmtId="0" fontId="49" fillId="27" borderId="0" applyNumberFormat="0" applyBorder="0" applyAlignment="0" applyProtection="0">
      <alignment vertical="center"/>
    </xf>
    <xf numFmtId="0" fontId="49" fillId="42" borderId="0" applyNumberFormat="0" applyBorder="0" applyAlignment="0" applyProtection="0">
      <alignment vertical="center"/>
    </xf>
    <xf numFmtId="0" fontId="49" fillId="41" borderId="0" applyNumberFormat="0" applyBorder="0" applyAlignment="0" applyProtection="0">
      <alignment vertical="center"/>
    </xf>
    <xf numFmtId="0" fontId="49" fillId="45" borderId="0" applyNumberFormat="0" applyBorder="0" applyAlignment="0" applyProtection="0">
      <alignment vertical="center"/>
    </xf>
    <xf numFmtId="0" fontId="50" fillId="53" borderId="0" applyNumberFormat="0" applyBorder="0" applyAlignment="0" applyProtection="0">
      <alignment vertical="center"/>
    </xf>
    <xf numFmtId="0" fontId="50" fillId="26" borderId="0" applyNumberFormat="0" applyBorder="0" applyAlignment="0" applyProtection="0">
      <alignment vertical="center"/>
    </xf>
    <xf numFmtId="0" fontId="49" fillId="37" borderId="0" applyNumberFormat="0" applyBorder="0" applyAlignment="0" applyProtection="0">
      <alignment vertical="center"/>
    </xf>
    <xf numFmtId="0" fontId="43" fillId="0" borderId="0"/>
    <xf numFmtId="0" fontId="49" fillId="29" borderId="0" applyNumberFormat="0" applyBorder="0" applyAlignment="0" applyProtection="0">
      <alignment vertical="center"/>
    </xf>
    <xf numFmtId="0" fontId="50" fillId="25" borderId="0" applyNumberFormat="0" applyBorder="0" applyAlignment="0" applyProtection="0">
      <alignment vertical="center"/>
    </xf>
    <xf numFmtId="0" fontId="5" fillId="0" borderId="0"/>
    <xf numFmtId="0" fontId="49" fillId="24" borderId="0" applyNumberFormat="0" applyBorder="0" applyAlignment="0" applyProtection="0">
      <alignment vertical="center"/>
    </xf>
    <xf numFmtId="0" fontId="50" fillId="33" borderId="0" applyNumberFormat="0" applyBorder="0" applyAlignment="0" applyProtection="0">
      <alignment vertical="center"/>
    </xf>
    <xf numFmtId="0" fontId="50" fillId="52" borderId="0" applyNumberFormat="0" applyBorder="0" applyAlignment="0" applyProtection="0">
      <alignment vertical="center"/>
    </xf>
    <xf numFmtId="0" fontId="47" fillId="0" borderId="0">
      <alignment vertical="center"/>
    </xf>
    <xf numFmtId="0" fontId="49" fillId="32" borderId="0" applyNumberFormat="0" applyBorder="0" applyAlignment="0" applyProtection="0">
      <alignment vertical="center"/>
    </xf>
    <xf numFmtId="0" fontId="50" fillId="28" borderId="0" applyNumberFormat="0" applyBorder="0" applyAlignment="0" applyProtection="0">
      <alignment vertical="center"/>
    </xf>
    <xf numFmtId="0" fontId="5" fillId="0" borderId="0"/>
    <xf numFmtId="0" fontId="5" fillId="0" borderId="0"/>
    <xf numFmtId="0" fontId="41" fillId="0" borderId="0"/>
  </cellStyleXfs>
  <cellXfs count="456">
    <xf numFmtId="0" fontId="0" fillId="0" borderId="0" xfId="0"/>
    <xf numFmtId="0" fontId="1" fillId="0" borderId="0" xfId="53" applyFont="1" applyAlignment="1">
      <alignment vertical="center"/>
    </xf>
    <xf numFmtId="0" fontId="1" fillId="0" borderId="0" xfId="53" applyFont="1"/>
    <xf numFmtId="0" fontId="1" fillId="0" borderId="0" xfId="53" applyFont="1" applyAlignment="1">
      <alignment wrapText="1"/>
    </xf>
    <xf numFmtId="0" fontId="2" fillId="0" borderId="0" xfId="53" applyFont="1" applyAlignment="1">
      <alignment horizontal="center" vertical="center"/>
    </xf>
    <xf numFmtId="0" fontId="1" fillId="0" borderId="0" xfId="53" applyFont="1" applyAlignment="1">
      <alignment horizontal="center" vertical="center"/>
    </xf>
    <xf numFmtId="0" fontId="2" fillId="2" borderId="1" xfId="53" applyFont="1" applyFill="1" applyBorder="1" applyAlignment="1">
      <alignment horizontal="center" vertical="center" wrapText="1"/>
    </xf>
    <xf numFmtId="0" fontId="2" fillId="2" borderId="2" xfId="53" applyFont="1" applyFill="1" applyBorder="1" applyAlignment="1">
      <alignment horizontal="center" vertical="center"/>
    </xf>
    <xf numFmtId="0" fontId="2" fillId="2" borderId="1" xfId="53" applyFont="1" applyFill="1" applyBorder="1" applyAlignment="1">
      <alignment horizontal="center" vertical="center"/>
    </xf>
    <xf numFmtId="0" fontId="3" fillId="0" borderId="3" xfId="53" applyFont="1" applyBorder="1" applyAlignment="1">
      <alignment vertical="center" wrapText="1"/>
    </xf>
    <xf numFmtId="0" fontId="2" fillId="3" borderId="4" xfId="53" applyFont="1" applyFill="1" applyBorder="1" applyAlignment="1">
      <alignment horizontal="center" vertical="center"/>
    </xf>
    <xf numFmtId="0" fontId="1" fillId="4" borderId="5" xfId="53" applyFont="1" applyFill="1" applyBorder="1" applyAlignment="1">
      <alignment vertical="center" wrapText="1"/>
    </xf>
    <xf numFmtId="0" fontId="1" fillId="0" borderId="6" xfId="53" applyFont="1" applyBorder="1" applyAlignment="1">
      <alignment vertical="center" wrapText="1"/>
    </xf>
    <xf numFmtId="0" fontId="4" fillId="0" borderId="7" xfId="53" applyFont="1" applyBorder="1" applyAlignment="1">
      <alignment vertical="center" wrapText="1"/>
    </xf>
    <xf numFmtId="0" fontId="2" fillId="3" borderId="8" xfId="53" applyFont="1" applyFill="1" applyBorder="1" applyAlignment="1">
      <alignment horizontal="center" vertical="center"/>
    </xf>
    <xf numFmtId="0" fontId="1" fillId="4" borderId="9" xfId="53" applyFont="1" applyFill="1" applyBorder="1" applyAlignment="1">
      <alignment vertical="center" wrapText="1"/>
    </xf>
    <xf numFmtId="0" fontId="1" fillId="0" borderId="10" xfId="53" applyFont="1" applyBorder="1" applyAlignment="1">
      <alignment wrapText="1"/>
    </xf>
    <xf numFmtId="0" fontId="1" fillId="4" borderId="11" xfId="53" applyFont="1" applyFill="1" applyBorder="1" applyAlignment="1">
      <alignment vertical="center" wrapText="1"/>
    </xf>
    <xf numFmtId="0" fontId="5" fillId="0" borderId="12" xfId="53" applyBorder="1" applyAlignment="1">
      <alignment vertical="center" wrapText="1"/>
    </xf>
    <xf numFmtId="49" fontId="2" fillId="3" borderId="8" xfId="53" applyNumberFormat="1" applyFont="1" applyFill="1" applyBorder="1" applyAlignment="1">
      <alignment horizontal="center" vertical="center"/>
    </xf>
    <xf numFmtId="0" fontId="5" fillId="0" borderId="13" xfId="53" applyBorder="1" applyAlignment="1">
      <alignment wrapText="1"/>
    </xf>
    <xf numFmtId="0" fontId="3" fillId="0" borderId="7" xfId="53" applyFont="1" applyBorder="1" applyAlignment="1">
      <alignment vertical="center" wrapText="1"/>
    </xf>
    <xf numFmtId="0" fontId="1" fillId="0" borderId="10" xfId="53" applyFont="1" applyBorder="1" applyAlignment="1">
      <alignment vertical="center" wrapText="1"/>
    </xf>
    <xf numFmtId="49" fontId="1" fillId="4" borderId="9" xfId="53" applyNumberFormat="1" applyFont="1" applyFill="1" applyBorder="1" applyAlignment="1">
      <alignment vertical="center" wrapText="1"/>
    </xf>
    <xf numFmtId="0" fontId="6" fillId="0" borderId="3" xfId="53" applyFont="1" applyBorder="1" applyAlignment="1">
      <alignment vertical="center" wrapText="1"/>
    </xf>
    <xf numFmtId="0" fontId="1" fillId="4" borderId="14" xfId="53" applyFont="1" applyFill="1" applyBorder="1" applyAlignment="1">
      <alignment vertical="center" wrapText="1"/>
    </xf>
    <xf numFmtId="49" fontId="7" fillId="5" borderId="15" xfId="53" applyNumberFormat="1" applyFont="1" applyFill="1" applyBorder="1" applyAlignment="1">
      <alignment vertical="center" wrapText="1"/>
    </xf>
    <xf numFmtId="0" fontId="1" fillId="0" borderId="16" xfId="53" applyFont="1" applyBorder="1" applyAlignment="1">
      <alignment vertical="center" wrapText="1"/>
    </xf>
    <xf numFmtId="0" fontId="2" fillId="3" borderId="17" xfId="53" applyFont="1" applyFill="1" applyBorder="1" applyAlignment="1">
      <alignment horizontal="center" vertical="center"/>
    </xf>
    <xf numFmtId="0" fontId="1" fillId="0" borderId="18" xfId="53" applyFont="1" applyBorder="1" applyAlignment="1">
      <alignment vertical="center" wrapText="1"/>
    </xf>
    <xf numFmtId="0" fontId="1" fillId="0" borderId="19" xfId="53" applyFont="1" applyBorder="1" applyAlignment="1">
      <alignment vertical="center" wrapText="1"/>
    </xf>
    <xf numFmtId="0" fontId="1" fillId="0" borderId="13" xfId="53" applyFont="1" applyBorder="1" applyAlignment="1">
      <alignment wrapText="1"/>
    </xf>
    <xf numFmtId="49" fontId="6" fillId="5" borderId="15" xfId="53" applyNumberFormat="1" applyFont="1" applyFill="1" applyBorder="1" applyAlignment="1">
      <alignment vertical="center" wrapText="1"/>
    </xf>
    <xf numFmtId="0" fontId="8" fillId="0" borderId="16" xfId="53" applyFont="1" applyBorder="1" applyAlignment="1">
      <alignment vertical="center" wrapText="1"/>
    </xf>
    <xf numFmtId="0" fontId="8" fillId="0" borderId="18" xfId="53" applyFont="1" applyBorder="1" applyAlignment="1">
      <alignment vertical="center" wrapText="1"/>
    </xf>
    <xf numFmtId="0" fontId="8" fillId="0" borderId="7" xfId="53" applyFont="1" applyBorder="1" applyAlignment="1">
      <alignment vertical="center" wrapText="1"/>
    </xf>
    <xf numFmtId="0" fontId="2" fillId="3" borderId="20" xfId="53" applyFont="1" applyFill="1" applyBorder="1" applyAlignment="1">
      <alignment horizontal="center" vertical="center"/>
    </xf>
    <xf numFmtId="49" fontId="2" fillId="3" borderId="20" xfId="53" applyNumberFormat="1" applyFont="1" applyFill="1" applyBorder="1" applyAlignment="1">
      <alignment horizontal="center" vertical="center"/>
    </xf>
    <xf numFmtId="49" fontId="1" fillId="4" borderId="21" xfId="53" applyNumberFormat="1" applyFont="1" applyFill="1" applyBorder="1" applyAlignment="1">
      <alignment vertical="center" wrapText="1"/>
    </xf>
    <xf numFmtId="49" fontId="6" fillId="5" borderId="3" xfId="53" applyNumberFormat="1" applyFont="1" applyFill="1" applyBorder="1" applyAlignment="1">
      <alignment horizontal="left" vertical="center" wrapText="1"/>
    </xf>
    <xf numFmtId="49" fontId="2" fillId="3" borderId="4" xfId="53" applyNumberFormat="1" applyFont="1" applyFill="1" applyBorder="1" applyAlignment="1">
      <alignment horizontal="center" vertical="center"/>
    </xf>
    <xf numFmtId="49" fontId="1" fillId="4" borderId="4" xfId="53" applyNumberFormat="1" applyFont="1" applyFill="1" applyBorder="1" applyAlignment="1">
      <alignment vertical="center" wrapText="1"/>
    </xf>
    <xf numFmtId="0" fontId="3" fillId="0" borderId="7" xfId="53" applyFont="1" applyBorder="1" applyAlignment="1">
      <alignment horizontal="left" vertical="center" wrapText="1"/>
    </xf>
    <xf numFmtId="0" fontId="3" fillId="0" borderId="12" xfId="53" applyFont="1" applyBorder="1" applyAlignment="1">
      <alignment horizontal="left" vertical="center" wrapText="1"/>
    </xf>
    <xf numFmtId="0" fontId="2" fillId="3" borderId="22" xfId="53" applyFont="1" applyFill="1" applyBorder="1" applyAlignment="1">
      <alignment horizontal="center" vertical="center"/>
    </xf>
    <xf numFmtId="49" fontId="2" fillId="3" borderId="22" xfId="53" applyNumberFormat="1" applyFont="1" applyFill="1" applyBorder="1" applyAlignment="1">
      <alignment horizontal="center" vertical="center"/>
    </xf>
    <xf numFmtId="49" fontId="1" fillId="4" borderId="23" xfId="53" applyNumberFormat="1" applyFont="1" applyFill="1" applyBorder="1" applyAlignment="1">
      <alignment vertical="center" wrapText="1"/>
    </xf>
    <xf numFmtId="0" fontId="5" fillId="0" borderId="0" xfId="53"/>
    <xf numFmtId="0" fontId="5" fillId="0" borderId="0" xfId="53" applyAlignment="1">
      <alignment wrapText="1"/>
    </xf>
    <xf numFmtId="0" fontId="9" fillId="0" borderId="24" xfId="53" applyFont="1" applyBorder="1"/>
    <xf numFmtId="0" fontId="9" fillId="0" borderId="25" xfId="53" applyFont="1" applyBorder="1"/>
    <xf numFmtId="0" fontId="9" fillId="0" borderId="26" xfId="53" applyFont="1" applyBorder="1" applyAlignment="1">
      <alignment wrapText="1"/>
    </xf>
    <xf numFmtId="0" fontId="0" fillId="0" borderId="15" xfId="53" applyFont="1" applyBorder="1" applyAlignment="1">
      <alignment vertical="top" wrapText="1"/>
    </xf>
    <xf numFmtId="0" fontId="5" fillId="0" borderId="4" xfId="53" applyBorder="1"/>
    <xf numFmtId="0" fontId="0" fillId="0" borderId="27" xfId="53" applyFont="1" applyBorder="1" applyAlignment="1">
      <alignment vertical="top" wrapText="1"/>
    </xf>
    <xf numFmtId="0" fontId="0" fillId="0" borderId="16" xfId="53" applyFont="1" applyBorder="1" applyAlignment="1">
      <alignment vertical="top" wrapText="1"/>
    </xf>
    <xf numFmtId="0" fontId="5" fillId="0" borderId="17" xfId="53" applyBorder="1"/>
    <xf numFmtId="0" fontId="0" fillId="0" borderId="28" xfId="53" applyFont="1" applyBorder="1" applyAlignment="1">
      <alignment vertical="top" wrapText="1"/>
    </xf>
    <xf numFmtId="0" fontId="0" fillId="0" borderId="19" xfId="53" applyFont="1" applyBorder="1" applyAlignment="1">
      <alignment vertical="top" wrapText="1"/>
    </xf>
    <xf numFmtId="0" fontId="5" fillId="0" borderId="29" xfId="53" applyBorder="1"/>
    <xf numFmtId="0" fontId="0" fillId="0" borderId="30" xfId="53" applyFont="1" applyBorder="1" applyAlignment="1">
      <alignment vertical="top" wrapText="1"/>
    </xf>
    <xf numFmtId="0" fontId="5" fillId="0" borderId="25" xfId="53" applyBorder="1"/>
    <xf numFmtId="0" fontId="0" fillId="0" borderId="0" xfId="0" applyFont="1"/>
    <xf numFmtId="0" fontId="10" fillId="0" borderId="0" xfId="0" applyFont="1" applyAlignment="1">
      <alignment vertical="center" wrapText="1"/>
    </xf>
    <xf numFmtId="0" fontId="11" fillId="0" borderId="0" xfId="0" applyFont="1"/>
    <xf numFmtId="0" fontId="0" fillId="0" borderId="0" xfId="0" applyAlignment="1">
      <alignment vertical="center"/>
    </xf>
    <xf numFmtId="0" fontId="10" fillId="0" borderId="0" xfId="0" applyFont="1" applyAlignment="1">
      <alignment vertical="center"/>
    </xf>
    <xf numFmtId="0" fontId="10" fillId="0" borderId="0" xfId="0" applyFont="1" applyAlignment="1">
      <alignment horizontal="right" vertical="center"/>
    </xf>
    <xf numFmtId="0" fontId="12" fillId="6" borderId="0" xfId="0" applyFont="1" applyFill="1" applyAlignment="1">
      <alignment vertical="center"/>
    </xf>
    <xf numFmtId="0" fontId="12" fillId="6" borderId="0" xfId="0" applyFont="1" applyFill="1" applyAlignment="1">
      <alignment vertical="center" wrapText="1"/>
    </xf>
    <xf numFmtId="0" fontId="13" fillId="6" borderId="17" xfId="0" applyFont="1" applyFill="1" applyBorder="1" applyAlignment="1">
      <alignment vertical="center"/>
    </xf>
    <xf numFmtId="0" fontId="13" fillId="6" borderId="11" xfId="0" applyFont="1" applyFill="1" applyBorder="1" applyAlignment="1">
      <alignment horizontal="center" vertical="center"/>
    </xf>
    <xf numFmtId="0" fontId="10" fillId="0" borderId="17" xfId="0" applyFont="1" applyBorder="1" applyAlignment="1" applyProtection="1">
      <alignment vertical="center"/>
      <protection locked="0"/>
    </xf>
    <xf numFmtId="0" fontId="10" fillId="0" borderId="11" xfId="0" applyFont="1" applyBorder="1" applyAlignment="1" applyProtection="1">
      <alignment horizontal="center" vertical="center"/>
      <protection locked="0"/>
    </xf>
    <xf numFmtId="0" fontId="13" fillId="6" borderId="17" xfId="0" applyFont="1" applyFill="1" applyBorder="1" applyAlignment="1">
      <alignment horizontal="center" vertical="center"/>
    </xf>
    <xf numFmtId="0" fontId="13" fillId="6" borderId="17" xfId="0" applyFont="1" applyFill="1" applyBorder="1" applyAlignment="1">
      <alignment horizontal="left" vertical="center" indent="2"/>
    </xf>
    <xf numFmtId="0" fontId="10" fillId="7" borderId="17" xfId="0" applyFont="1" applyFill="1" applyBorder="1" applyAlignment="1" applyProtection="1">
      <alignment horizontal="center" vertical="center"/>
      <protection locked="0"/>
    </xf>
    <xf numFmtId="0" fontId="14" fillId="8" borderId="0" xfId="0" applyFont="1" applyFill="1" applyAlignment="1">
      <alignment vertical="center"/>
    </xf>
    <xf numFmtId="0" fontId="10" fillId="8" borderId="0" xfId="0" applyFont="1" applyFill="1" applyAlignment="1">
      <alignment vertical="center"/>
    </xf>
    <xf numFmtId="0" fontId="10" fillId="0" borderId="17" xfId="0" applyFont="1" applyBorder="1" applyAlignment="1" applyProtection="1">
      <alignment horizontal="center" vertical="center"/>
      <protection locked="0"/>
    </xf>
    <xf numFmtId="0" fontId="11" fillId="0" borderId="0" xfId="0" applyFont="1" applyFill="1"/>
    <xf numFmtId="0" fontId="10" fillId="0" borderId="0" xfId="0" applyFont="1"/>
    <xf numFmtId="0" fontId="13" fillId="7" borderId="17" xfId="0" applyFont="1" applyFill="1" applyBorder="1" applyAlignment="1">
      <alignment horizontal="left" vertical="center" indent="2"/>
    </xf>
    <xf numFmtId="0" fontId="10" fillId="0" borderId="17" xfId="0" applyFont="1" applyFill="1" applyBorder="1" applyAlignment="1" applyProtection="1">
      <alignment horizontal="center" vertical="center"/>
      <protection locked="0"/>
    </xf>
    <xf numFmtId="0" fontId="13" fillId="9" borderId="17" xfId="0" applyFont="1" applyFill="1" applyBorder="1" applyAlignment="1">
      <alignment horizontal="left" vertical="center" indent="2"/>
    </xf>
    <xf numFmtId="0" fontId="10" fillId="0" borderId="17" xfId="0" applyFont="1" applyBorder="1" applyAlignment="1">
      <alignment horizontal="center" vertical="center"/>
    </xf>
    <xf numFmtId="0" fontId="15" fillId="7" borderId="0" xfId="0" applyFont="1" applyFill="1"/>
    <xf numFmtId="0" fontId="10" fillId="10" borderId="0" xfId="0" applyFont="1" applyFill="1" applyAlignment="1">
      <alignment vertical="center"/>
    </xf>
    <xf numFmtId="0" fontId="0" fillId="0" borderId="0" xfId="0" applyFont="1" applyAlignment="1">
      <alignment vertical="center"/>
    </xf>
    <xf numFmtId="0" fontId="5" fillId="0" borderId="0" xfId="0" applyFont="1" applyAlignment="1">
      <alignment vertical="center"/>
    </xf>
    <xf numFmtId="0" fontId="13" fillId="6" borderId="31" xfId="0" applyFont="1" applyFill="1" applyBorder="1" applyAlignment="1">
      <alignment horizontal="center" vertical="center"/>
    </xf>
    <xf numFmtId="0" fontId="13" fillId="9" borderId="17" xfId="0" applyFont="1" applyFill="1" applyBorder="1" applyAlignment="1">
      <alignment vertical="center"/>
    </xf>
    <xf numFmtId="0" fontId="10" fillId="0" borderId="31" xfId="0" applyFont="1" applyBorder="1" applyAlignment="1" applyProtection="1">
      <alignment horizontal="center" vertical="center"/>
      <protection locked="0"/>
    </xf>
    <xf numFmtId="0" fontId="12" fillId="0" borderId="0" xfId="0" applyFont="1" applyAlignment="1">
      <alignment horizontal="right" vertical="center" wrapText="1"/>
    </xf>
    <xf numFmtId="0" fontId="12" fillId="0" borderId="0" xfId="0" applyFont="1" applyAlignment="1">
      <alignment vertical="center" wrapText="1"/>
    </xf>
    <xf numFmtId="0" fontId="13" fillId="6" borderId="32" xfId="0" applyFont="1" applyFill="1" applyBorder="1" applyAlignment="1">
      <alignment horizontal="right" vertical="center"/>
    </xf>
    <xf numFmtId="0" fontId="13" fillId="6" borderId="17" xfId="0" applyFont="1" applyFill="1" applyBorder="1" applyAlignment="1">
      <alignment horizontal="right" vertical="center"/>
    </xf>
    <xf numFmtId="0" fontId="11" fillId="11" borderId="11" xfId="0" applyFont="1" applyFill="1" applyBorder="1" applyAlignment="1">
      <alignment horizontal="center" vertical="center" wrapText="1"/>
    </xf>
    <xf numFmtId="0" fontId="10" fillId="11" borderId="17" xfId="0" applyFont="1" applyFill="1" applyBorder="1" applyAlignment="1">
      <alignment horizontal="right" vertical="center"/>
    </xf>
    <xf numFmtId="0" fontId="10" fillId="11" borderId="17" xfId="0" applyFont="1" applyFill="1" applyBorder="1" applyAlignment="1">
      <alignment vertical="center"/>
    </xf>
    <xf numFmtId="0" fontId="10" fillId="12" borderId="17" xfId="0" applyFont="1" applyFill="1" applyBorder="1" applyAlignment="1">
      <alignment vertical="center"/>
    </xf>
    <xf numFmtId="49" fontId="16" fillId="0" borderId="17" xfId="0" applyNumberFormat="1" applyFont="1" applyBorder="1" applyAlignment="1">
      <alignment vertical="center"/>
    </xf>
    <xf numFmtId="0" fontId="10" fillId="13" borderId="17" xfId="0" applyFont="1" applyFill="1" applyBorder="1" applyAlignment="1">
      <alignment vertical="center"/>
    </xf>
    <xf numFmtId="0" fontId="11" fillId="11" borderId="17" xfId="0" applyFont="1" applyFill="1" applyBorder="1" applyAlignment="1">
      <alignment horizontal="center" vertical="center" wrapText="1"/>
    </xf>
    <xf numFmtId="49" fontId="16" fillId="0" borderId="17" xfId="0" applyNumberFormat="1" applyFont="1" applyBorder="1" applyAlignment="1">
      <alignment vertical="center" wrapText="1"/>
    </xf>
    <xf numFmtId="0" fontId="15" fillId="13" borderId="17" xfId="0" applyFont="1" applyFill="1" applyBorder="1" applyAlignment="1">
      <alignment horizontal="fill" vertical="center"/>
    </xf>
    <xf numFmtId="0" fontId="11" fillId="11" borderId="17" xfId="0" applyFont="1" applyFill="1" applyBorder="1" applyAlignment="1">
      <alignment horizontal="right" vertical="center" wrapText="1"/>
    </xf>
    <xf numFmtId="0" fontId="10" fillId="13" borderId="17" xfId="0" applyFont="1" applyFill="1" applyBorder="1" applyAlignment="1">
      <alignment horizontal="fill" vertical="center"/>
    </xf>
    <xf numFmtId="0" fontId="11" fillId="12" borderId="17" xfId="0" applyFont="1" applyFill="1" applyBorder="1" applyAlignment="1">
      <alignment horizontal="right" vertical="center" wrapText="1"/>
    </xf>
    <xf numFmtId="0" fontId="11" fillId="0" borderId="17" xfId="0" applyFont="1" applyBorder="1"/>
    <xf numFmtId="0" fontId="10" fillId="0" borderId="17" xfId="0" applyFont="1" applyBorder="1" applyAlignment="1">
      <alignment vertical="center"/>
    </xf>
    <xf numFmtId="0" fontId="17" fillId="11" borderId="17" xfId="0" applyFont="1" applyFill="1" applyBorder="1" applyAlignment="1">
      <alignment horizontal="center" vertical="center" wrapText="1"/>
    </xf>
    <xf numFmtId="0" fontId="17" fillId="11" borderId="17" xfId="0" applyFont="1" applyFill="1" applyBorder="1" applyAlignment="1">
      <alignment horizontal="right" vertical="center" wrapText="1"/>
    </xf>
    <xf numFmtId="0" fontId="18" fillId="11" borderId="17" xfId="0" applyFont="1" applyFill="1" applyBorder="1" applyAlignment="1">
      <alignment vertical="center"/>
    </xf>
    <xf numFmtId="0" fontId="18" fillId="12" borderId="17" xfId="0" applyFont="1" applyFill="1" applyBorder="1" applyAlignment="1">
      <alignment vertical="center"/>
    </xf>
    <xf numFmtId="0" fontId="18" fillId="0" borderId="17" xfId="0" applyFont="1" applyBorder="1" applyAlignment="1">
      <alignment vertical="center"/>
    </xf>
    <xf numFmtId="0" fontId="18" fillId="13" borderId="17" xfId="0" applyFont="1" applyFill="1" applyBorder="1" applyAlignment="1">
      <alignment horizontal="fill" vertical="center"/>
    </xf>
    <xf numFmtId="0" fontId="10" fillId="14" borderId="17" xfId="0" applyFont="1" applyFill="1" applyBorder="1" applyAlignment="1">
      <alignment horizontal="fill" vertical="center"/>
    </xf>
    <xf numFmtId="20" fontId="14" fillId="14" borderId="17" xfId="0" applyNumberFormat="1" applyFont="1" applyFill="1" applyBorder="1" applyAlignment="1">
      <alignment horizontal="fill" vertical="center"/>
    </xf>
    <xf numFmtId="20" fontId="14" fillId="15" borderId="17" xfId="0" applyNumberFormat="1" applyFont="1" applyFill="1" applyBorder="1" applyAlignment="1">
      <alignment horizontal="fill" vertical="center"/>
    </xf>
    <xf numFmtId="20" fontId="14" fillId="14" borderId="17" xfId="0" applyNumberFormat="1" applyFont="1" applyFill="1" applyBorder="1" applyAlignment="1">
      <alignment horizontal="fill" vertical="center" wrapText="1"/>
    </xf>
    <xf numFmtId="0" fontId="0" fillId="0" borderId="17" xfId="0" applyBorder="1" applyAlignment="1">
      <alignment vertical="center"/>
    </xf>
    <xf numFmtId="0" fontId="0" fillId="16" borderId="17" xfId="0" applyFont="1" applyFill="1" applyBorder="1" applyAlignment="1">
      <alignment horizontal="fill" vertical="center"/>
    </xf>
    <xf numFmtId="0" fontId="10" fillId="6" borderId="17" xfId="0" applyFont="1" applyFill="1" applyBorder="1"/>
    <xf numFmtId="49" fontId="11" fillId="0" borderId="17" xfId="0" applyNumberFormat="1" applyFont="1" applyBorder="1" applyAlignment="1">
      <alignment vertical="center" wrapText="1"/>
    </xf>
    <xf numFmtId="49" fontId="19" fillId="7" borderId="17" xfId="0" applyNumberFormat="1" applyFont="1" applyFill="1" applyBorder="1" applyAlignment="1">
      <alignment vertical="center" wrapText="1"/>
    </xf>
    <xf numFmtId="49" fontId="19" fillId="7" borderId="17" xfId="0" applyNumberFormat="1" applyFont="1" applyFill="1" applyBorder="1" applyAlignment="1" applyProtection="1">
      <alignment vertical="center" wrapText="1"/>
    </xf>
    <xf numFmtId="49" fontId="11" fillId="7" borderId="17" xfId="0" applyNumberFormat="1" applyFont="1" applyFill="1" applyBorder="1" applyAlignment="1">
      <alignment wrapText="1"/>
    </xf>
    <xf numFmtId="0" fontId="0" fillId="0" borderId="0" xfId="0" applyFont="1" applyAlignment="1">
      <alignment horizontal="left" vertical="center" wrapText="1"/>
    </xf>
    <xf numFmtId="0" fontId="20" fillId="0" borderId="0" xfId="0" applyFont="1" applyAlignment="1">
      <alignment horizontal="left" vertical="center" wrapText="1"/>
    </xf>
    <xf numFmtId="0" fontId="0" fillId="0" borderId="0" xfId="0" applyFont="1" applyAlignment="1">
      <alignment wrapText="1"/>
    </xf>
    <xf numFmtId="0" fontId="20" fillId="0" borderId="0" xfId="0" applyFont="1" applyAlignment="1">
      <alignment wrapText="1"/>
    </xf>
    <xf numFmtId="0" fontId="21" fillId="17" borderId="0" xfId="0" applyFont="1" applyFill="1"/>
    <xf numFmtId="0" fontId="0" fillId="17" borderId="0" xfId="0" applyFill="1"/>
    <xf numFmtId="0" fontId="9" fillId="18" borderId="17" xfId="0" applyFont="1" applyFill="1" applyBorder="1"/>
    <xf numFmtId="0" fontId="0" fillId="0" borderId="17" xfId="0" applyBorder="1" applyAlignment="1">
      <alignment horizontal="center"/>
    </xf>
    <xf numFmtId="0" fontId="0" fillId="17" borderId="17" xfId="0" applyFont="1" applyFill="1" applyBorder="1"/>
    <xf numFmtId="0" fontId="0" fillId="17" borderId="17" xfId="0" applyFill="1" applyBorder="1"/>
    <xf numFmtId="0" fontId="0" fillId="17" borderId="17" xfId="0" applyFill="1" applyBorder="1" applyAlignment="1">
      <alignment horizontal="center"/>
    </xf>
    <xf numFmtId="0" fontId="0" fillId="0" borderId="17" xfId="0" applyFill="1" applyBorder="1"/>
    <xf numFmtId="0" fontId="0" fillId="0" borderId="17" xfId="0" applyBorder="1"/>
    <xf numFmtId="0" fontId="0" fillId="19" borderId="17" xfId="0" applyFont="1" applyFill="1" applyBorder="1" applyAlignment="1">
      <alignment horizontal="left" vertical="center" wrapText="1"/>
    </xf>
    <xf numFmtId="0" fontId="0" fillId="19" borderId="17" xfId="0" applyFont="1" applyFill="1" applyBorder="1" applyAlignment="1">
      <alignment wrapText="1"/>
    </xf>
    <xf numFmtId="0" fontId="0" fillId="0" borderId="17" xfId="0" applyFont="1" applyBorder="1" applyAlignment="1">
      <alignment horizontal="left" vertical="center" wrapText="1"/>
    </xf>
    <xf numFmtId="0" fontId="0" fillId="0" borderId="17" xfId="0" applyFont="1" applyBorder="1" applyAlignment="1">
      <alignment horizontal="left" wrapText="1"/>
    </xf>
    <xf numFmtId="0" fontId="0" fillId="0" borderId="17" xfId="0" applyNumberFormat="1" applyFont="1" applyBorder="1" applyAlignment="1">
      <alignment horizontal="left" wrapText="1"/>
    </xf>
    <xf numFmtId="0" fontId="0" fillId="5" borderId="17" xfId="0" applyFill="1" applyBorder="1"/>
    <xf numFmtId="0" fontId="0" fillId="12" borderId="17" xfId="0" applyFont="1" applyFill="1" applyBorder="1" applyAlignment="1">
      <alignment horizontal="right" wrapText="1"/>
    </xf>
    <xf numFmtId="0" fontId="0" fillId="0" borderId="17" xfId="0" applyFont="1" applyBorder="1" applyAlignment="1">
      <alignment wrapText="1"/>
    </xf>
    <xf numFmtId="0" fontId="0" fillId="12" borderId="17" xfId="0" applyNumberFormat="1" applyFont="1" applyFill="1" applyBorder="1" applyAlignment="1">
      <alignment horizontal="right" wrapText="1"/>
    </xf>
    <xf numFmtId="9" fontId="0" fillId="0" borderId="17" xfId="0" applyNumberFormat="1" applyFont="1" applyBorder="1" applyAlignment="1">
      <alignment horizontal="left" wrapText="1"/>
    </xf>
    <xf numFmtId="0" fontId="0" fillId="0" borderId="17" xfId="0" applyFill="1" applyBorder="1" applyAlignment="1">
      <alignment horizontal="center"/>
    </xf>
    <xf numFmtId="0" fontId="0" fillId="20" borderId="17" xfId="0" applyFont="1" applyFill="1" applyBorder="1"/>
    <xf numFmtId="0" fontId="0" fillId="20" borderId="17" xfId="0" applyFill="1" applyBorder="1"/>
    <xf numFmtId="0" fontId="0" fillId="20" borderId="17" xfId="0" applyFill="1" applyBorder="1" applyAlignment="1">
      <alignment horizontal="center"/>
    </xf>
    <xf numFmtId="0" fontId="22" fillId="7" borderId="17" xfId="0" applyFont="1" applyFill="1" applyBorder="1"/>
    <xf numFmtId="0" fontId="0" fillId="17" borderId="17" xfId="0" applyFont="1" applyFill="1" applyBorder="1" applyAlignment="1">
      <alignment wrapText="1"/>
    </xf>
    <xf numFmtId="0" fontId="0" fillId="7" borderId="17" xfId="0" applyFill="1" applyBorder="1"/>
    <xf numFmtId="0" fontId="10" fillId="0" borderId="0" xfId="0" applyFont="1" applyAlignment="1">
      <alignment horizontal="center"/>
    </xf>
    <xf numFmtId="0" fontId="10" fillId="0" borderId="0" xfId="0" applyFont="1" applyFill="1" applyAlignment="1">
      <alignment horizontal="center"/>
    </xf>
    <xf numFmtId="0" fontId="10" fillId="0" borderId="0" xfId="0" applyFont="1" applyAlignment="1">
      <alignment wrapText="1"/>
    </xf>
    <xf numFmtId="0" fontId="10" fillId="0" borderId="0" xfId="0" applyFont="1" applyAlignment="1">
      <alignment horizontal="left"/>
    </xf>
    <xf numFmtId="0" fontId="10" fillId="0" borderId="0" xfId="0" applyFont="1" applyAlignment="1">
      <alignment horizontal="fill"/>
    </xf>
    <xf numFmtId="0" fontId="13" fillId="0" borderId="0" xfId="0" applyFont="1" applyFill="1" applyBorder="1" applyAlignment="1">
      <alignment horizontal="center" vertical="center"/>
    </xf>
    <xf numFmtId="0" fontId="13" fillId="6" borderId="17" xfId="0" applyFont="1" applyFill="1" applyBorder="1" applyAlignment="1">
      <alignment horizontal="left" vertical="center" indent="1"/>
    </xf>
    <xf numFmtId="0" fontId="10" fillId="0" borderId="0" xfId="0" applyFont="1" applyFill="1" applyBorder="1" applyAlignment="1">
      <alignment horizontal="center" vertical="center"/>
    </xf>
    <xf numFmtId="0" fontId="10" fillId="7" borderId="17" xfId="0" applyFont="1" applyFill="1" applyBorder="1" applyAlignment="1">
      <alignment wrapText="1"/>
    </xf>
    <xf numFmtId="0" fontId="10" fillId="0" borderId="17" xfId="0" applyFont="1" applyFill="1" applyBorder="1" applyAlignment="1">
      <alignment horizontal="center" vertical="center"/>
    </xf>
    <xf numFmtId="176" fontId="15" fillId="7" borderId="17" xfId="0" applyNumberFormat="1" applyFont="1" applyFill="1" applyBorder="1" applyAlignment="1">
      <alignment horizontal="center" vertical="center"/>
    </xf>
    <xf numFmtId="0" fontId="10" fillId="0" borderId="0" xfId="0" applyNumberFormat="1" applyFont="1" applyAlignment="1">
      <alignment horizontal="center"/>
    </xf>
    <xf numFmtId="49" fontId="23" fillId="9" borderId="17" xfId="0" applyNumberFormat="1" applyFont="1" applyFill="1" applyBorder="1" applyAlignment="1">
      <alignment vertical="center" wrapText="1"/>
    </xf>
    <xf numFmtId="0" fontId="24" fillId="11" borderId="17" xfId="0" applyFont="1" applyFill="1" applyBorder="1" applyAlignment="1">
      <alignment horizontal="center" vertical="center" wrapText="1"/>
    </xf>
    <xf numFmtId="176" fontId="15" fillId="0" borderId="17" xfId="0" applyNumberFormat="1" applyFont="1" applyBorder="1" applyAlignment="1">
      <alignment horizontal="center"/>
    </xf>
    <xf numFmtId="176" fontId="10" fillId="0" borderId="17" xfId="0" applyNumberFormat="1" applyFont="1" applyBorder="1" applyAlignment="1">
      <alignment horizontal="center" vertical="center"/>
    </xf>
    <xf numFmtId="176" fontId="15" fillId="0" borderId="17" xfId="0" applyNumberFormat="1" applyFont="1" applyBorder="1" applyAlignment="1">
      <alignment horizontal="center" vertical="center"/>
    </xf>
    <xf numFmtId="49" fontId="16" fillId="0" borderId="33" xfId="0" applyNumberFormat="1" applyFont="1" applyBorder="1" applyAlignment="1">
      <alignment vertical="center" wrapText="1"/>
    </xf>
    <xf numFmtId="0" fontId="13" fillId="6" borderId="17" xfId="0" applyFont="1" applyFill="1" applyBorder="1" applyAlignment="1">
      <alignment horizontal="left" vertical="center"/>
    </xf>
    <xf numFmtId="0" fontId="10" fillId="6" borderId="17" xfId="0" applyFont="1" applyFill="1" applyBorder="1" applyAlignment="1">
      <alignment horizontal="fill"/>
    </xf>
    <xf numFmtId="0" fontId="13" fillId="6" borderId="17" xfId="0" applyFont="1" applyFill="1" applyBorder="1" applyAlignment="1">
      <alignment horizontal="fill" vertical="center"/>
    </xf>
    <xf numFmtId="0" fontId="11" fillId="12" borderId="17" xfId="0" applyFont="1" applyFill="1" applyBorder="1" applyAlignment="1">
      <alignment horizontal="center" vertical="center" wrapText="1"/>
    </xf>
    <xf numFmtId="49" fontId="11" fillId="4" borderId="17" xfId="0" applyNumberFormat="1" applyFont="1" applyFill="1" applyBorder="1" applyAlignment="1">
      <alignment horizontal="fill" vertical="center" wrapText="1"/>
    </xf>
    <xf numFmtId="0" fontId="11" fillId="0" borderId="17" xfId="0" applyFont="1" applyBorder="1" applyAlignment="1">
      <alignment horizontal="right"/>
    </xf>
    <xf numFmtId="0" fontId="10" fillId="0" borderId="17" xfId="0" applyFont="1" applyBorder="1"/>
    <xf numFmtId="0" fontId="10" fillId="0" borderId="17" xfId="0" applyFont="1" applyBorder="1" applyAlignment="1">
      <alignment horizontal="fill"/>
    </xf>
    <xf numFmtId="0" fontId="25" fillId="12" borderId="17" xfId="0" applyFont="1" applyFill="1" applyBorder="1" applyAlignment="1">
      <alignment horizontal="center" vertical="center" wrapText="1"/>
    </xf>
    <xf numFmtId="49" fontId="1" fillId="4" borderId="11" xfId="0" applyNumberFormat="1" applyFont="1" applyFill="1" applyBorder="1" applyAlignment="1">
      <alignment vertical="center" wrapText="1"/>
    </xf>
    <xf numFmtId="49" fontId="1" fillId="9" borderId="17" xfId="0" applyNumberFormat="1" applyFont="1" applyFill="1" applyBorder="1" applyAlignment="1">
      <alignment vertical="center" wrapText="1"/>
    </xf>
    <xf numFmtId="0" fontId="26" fillId="6" borderId="32" xfId="0" applyFont="1" applyFill="1" applyBorder="1"/>
    <xf numFmtId="0" fontId="26" fillId="6" borderId="34" xfId="0" applyFont="1" applyFill="1" applyBorder="1"/>
    <xf numFmtId="0" fontId="26" fillId="6" borderId="35" xfId="0" applyFont="1" applyFill="1" applyBorder="1"/>
    <xf numFmtId="0" fontId="26" fillId="6" borderId="36" xfId="0" applyFont="1" applyFill="1" applyBorder="1"/>
    <xf numFmtId="0" fontId="26" fillId="6" borderId="2" xfId="0" applyFont="1" applyFill="1" applyBorder="1"/>
    <xf numFmtId="0" fontId="27" fillId="6" borderId="37" xfId="0" applyFont="1" applyFill="1" applyBorder="1"/>
    <xf numFmtId="0" fontId="28" fillId="5" borderId="29" xfId="0" applyNumberFormat="1" applyFont="1" applyFill="1" applyBorder="1" applyAlignment="1" applyProtection="1">
      <alignment horizontal="center" vertical="center" wrapText="1"/>
      <protection locked="0"/>
    </xf>
    <xf numFmtId="0" fontId="10" fillId="4" borderId="25" xfId="0" applyFont="1" applyFill="1" applyBorder="1" applyAlignment="1" applyProtection="1">
      <alignment horizontal="center"/>
      <protection locked="0"/>
    </xf>
    <xf numFmtId="0" fontId="26" fillId="0" borderId="0" xfId="0" applyFont="1"/>
    <xf numFmtId="0" fontId="27" fillId="0" borderId="0" xfId="0" applyFont="1"/>
    <xf numFmtId="0" fontId="10" fillId="0" borderId="0" xfId="0" applyFont="1" applyAlignment="1" applyProtection="1">
      <alignment horizontal="center"/>
      <protection locked="0"/>
    </xf>
    <xf numFmtId="0" fontId="26" fillId="6" borderId="37" xfId="0" applyFont="1" applyFill="1" applyBorder="1"/>
    <xf numFmtId="0" fontId="10" fillId="4" borderId="38" xfId="0" applyFont="1" applyFill="1" applyBorder="1" applyAlignment="1" applyProtection="1">
      <alignment horizontal="center"/>
      <protection locked="0"/>
    </xf>
    <xf numFmtId="0" fontId="10" fillId="0" borderId="0" xfId="0" applyFont="1" applyAlignment="1">
      <alignment horizontal="left" vertical="center"/>
    </xf>
    <xf numFmtId="0" fontId="13" fillId="6" borderId="39" xfId="0" applyFont="1" applyFill="1" applyBorder="1" applyAlignment="1">
      <alignment horizontal="left" vertical="center"/>
    </xf>
    <xf numFmtId="0" fontId="28" fillId="5" borderId="17" xfId="0" applyNumberFormat="1" applyFont="1" applyFill="1" applyBorder="1" applyAlignment="1" applyProtection="1">
      <alignment horizontal="center" vertical="center" wrapText="1"/>
      <protection locked="0"/>
    </xf>
    <xf numFmtId="177" fontId="28" fillId="5" borderId="17" xfId="0" applyNumberFormat="1" applyFont="1" applyFill="1" applyBorder="1" applyAlignment="1" applyProtection="1">
      <alignment horizontal="center" vertical="center" wrapText="1"/>
      <protection locked="0"/>
    </xf>
    <xf numFmtId="176" fontId="28" fillId="5" borderId="17" xfId="0" applyNumberFormat="1" applyFont="1" applyFill="1" applyBorder="1" applyAlignment="1" applyProtection="1">
      <alignment horizontal="center" vertical="center" wrapText="1"/>
      <protection locked="0"/>
    </xf>
    <xf numFmtId="0" fontId="26" fillId="6" borderId="6" xfId="0" applyFont="1" applyFill="1" applyBorder="1"/>
    <xf numFmtId="0" fontId="10" fillId="4" borderId="26" xfId="0" applyFont="1" applyFill="1" applyBorder="1" applyAlignment="1" applyProtection="1">
      <alignment horizontal="center"/>
      <protection locked="0"/>
    </xf>
    <xf numFmtId="0" fontId="10" fillId="4" borderId="37" xfId="0" applyFont="1" applyFill="1" applyBorder="1" applyAlignment="1" applyProtection="1">
      <alignment horizontal="center"/>
      <protection locked="0"/>
    </xf>
    <xf numFmtId="0" fontId="13" fillId="6" borderId="40" xfId="0" applyFont="1" applyFill="1" applyBorder="1" applyAlignment="1">
      <alignment horizontal="center" vertical="center"/>
    </xf>
    <xf numFmtId="0" fontId="13" fillId="6" borderId="41" xfId="0" applyFont="1" applyFill="1" applyBorder="1" applyAlignment="1">
      <alignment horizontal="center" vertical="center"/>
    </xf>
    <xf numFmtId="0" fontId="13" fillId="6" borderId="42" xfId="0" applyFont="1" applyFill="1" applyBorder="1" applyAlignment="1">
      <alignment horizontal="center" vertical="center"/>
    </xf>
    <xf numFmtId="49" fontId="11" fillId="5" borderId="11" xfId="0" applyNumberFormat="1" applyFont="1" applyFill="1" applyBorder="1" applyAlignment="1">
      <alignment horizontal="left" vertical="center" wrapText="1"/>
    </xf>
    <xf numFmtId="49" fontId="11" fillId="5" borderId="43" xfId="0" applyNumberFormat="1" applyFont="1" applyFill="1" applyBorder="1" applyAlignment="1">
      <alignment horizontal="left" vertical="center" wrapText="1"/>
    </xf>
    <xf numFmtId="49" fontId="11" fillId="5" borderId="31" xfId="0" applyNumberFormat="1" applyFont="1" applyFill="1" applyBorder="1" applyAlignment="1">
      <alignment horizontal="left" vertical="center" wrapText="1"/>
    </xf>
    <xf numFmtId="177" fontId="11" fillId="11" borderId="17" xfId="0" applyNumberFormat="1" applyFont="1" applyFill="1" applyBorder="1" applyAlignment="1">
      <alignment horizontal="right" vertical="center" wrapText="1"/>
    </xf>
    <xf numFmtId="0" fontId="10" fillId="7" borderId="17" xfId="0" applyFont="1" applyFill="1" applyBorder="1"/>
    <xf numFmtId="0" fontId="13" fillId="6" borderId="39" xfId="0" applyFont="1" applyFill="1" applyBorder="1" applyAlignment="1">
      <alignment horizontal="left" vertical="center" wrapText="1"/>
    </xf>
    <xf numFmtId="49" fontId="11" fillId="0" borderId="31" xfId="0" applyNumberFormat="1" applyFont="1" applyBorder="1" applyAlignment="1">
      <alignment horizontal="fill" wrapText="1"/>
    </xf>
    <xf numFmtId="49" fontId="11" fillId="0" borderId="44" xfId="0" applyNumberFormat="1" applyFont="1" applyBorder="1" applyAlignment="1">
      <alignment horizontal="fill" vertical="top" wrapText="1"/>
    </xf>
    <xf numFmtId="0" fontId="13" fillId="6" borderId="15" xfId="0" applyFont="1" applyFill="1" applyBorder="1" applyAlignment="1">
      <alignment horizontal="left" vertical="center"/>
    </xf>
    <xf numFmtId="0" fontId="13" fillId="6" borderId="27" xfId="0" applyFont="1" applyFill="1" applyBorder="1" applyAlignment="1">
      <alignment horizontal="left" vertical="center"/>
    </xf>
    <xf numFmtId="0" fontId="13" fillId="6" borderId="19" xfId="0" applyFont="1" applyFill="1" applyBorder="1" applyAlignment="1">
      <alignment horizontal="left" vertical="center"/>
    </xf>
    <xf numFmtId="0" fontId="10" fillId="0" borderId="30" xfId="0" applyFont="1" applyBorder="1" applyAlignment="1" applyProtection="1">
      <alignment horizontal="left" vertical="center"/>
      <protection locked="0"/>
    </xf>
    <xf numFmtId="0" fontId="29" fillId="6" borderId="11" xfId="0" applyFont="1" applyFill="1" applyBorder="1" applyAlignment="1">
      <alignment horizontal="center" vertical="center"/>
    </xf>
    <xf numFmtId="0" fontId="29" fillId="6" borderId="17" xfId="0" applyFont="1" applyFill="1" applyBorder="1" applyAlignment="1">
      <alignment horizontal="center" vertical="center"/>
    </xf>
    <xf numFmtId="0" fontId="10" fillId="0" borderId="17" xfId="0" applyFont="1" applyBorder="1" applyAlignment="1" applyProtection="1">
      <alignment horizontal="left" vertical="center"/>
      <protection locked="0"/>
    </xf>
    <xf numFmtId="0" fontId="10" fillId="0" borderId="17" xfId="0" applyFont="1" applyBorder="1" applyAlignment="1">
      <alignment horizontal="left" vertical="center"/>
    </xf>
    <xf numFmtId="0" fontId="30" fillId="5" borderId="17" xfId="0" applyFont="1" applyFill="1" applyBorder="1" applyAlignment="1" applyProtection="1">
      <alignment horizontal="left" vertical="center"/>
    </xf>
    <xf numFmtId="0" fontId="31" fillId="0" borderId="17" xfId="0" applyFont="1" applyBorder="1" applyAlignment="1" applyProtection="1">
      <alignment horizontal="center" vertical="center"/>
      <protection locked="0"/>
    </xf>
    <xf numFmtId="0" fontId="32" fillId="0" borderId="0" xfId="0" applyFont="1" applyBorder="1" applyAlignment="1">
      <alignment horizontal="left" vertical="center"/>
    </xf>
    <xf numFmtId="0" fontId="10" fillId="0" borderId="0" xfId="0" applyFont="1" applyBorder="1" applyAlignment="1">
      <alignment horizontal="left" vertical="center"/>
    </xf>
    <xf numFmtId="0" fontId="33" fillId="0" borderId="0" xfId="0" applyFont="1" applyBorder="1" applyAlignment="1">
      <alignment horizontal="left" vertical="center"/>
    </xf>
    <xf numFmtId="0" fontId="10" fillId="11" borderId="17" xfId="0" applyFont="1" applyFill="1" applyBorder="1" applyAlignment="1">
      <alignment horizontal="left" vertical="center"/>
    </xf>
    <xf numFmtId="0" fontId="10" fillId="12" borderId="17" xfId="0" applyFont="1" applyFill="1" applyBorder="1" applyAlignment="1">
      <alignment horizontal="left" vertical="center"/>
    </xf>
    <xf numFmtId="0" fontId="10" fillId="13" borderId="17" xfId="0" applyFont="1" applyFill="1" applyBorder="1" applyAlignment="1">
      <alignment horizontal="left" vertical="center"/>
    </xf>
    <xf numFmtId="0" fontId="10" fillId="7" borderId="0" xfId="0" applyFont="1" applyFill="1" applyAlignment="1">
      <alignment horizontal="left" vertical="center"/>
    </xf>
    <xf numFmtId="0" fontId="10" fillId="7" borderId="0" xfId="0" applyFont="1" applyFill="1" applyAlignment="1">
      <alignment horizontal="left" vertical="center" wrapText="1"/>
    </xf>
    <xf numFmtId="0" fontId="13" fillId="6" borderId="11" xfId="0" applyFont="1" applyFill="1" applyBorder="1" applyAlignment="1">
      <alignment horizontal="left" vertical="center"/>
    </xf>
    <xf numFmtId="0" fontId="14" fillId="11" borderId="17" xfId="0" applyFont="1" applyFill="1" applyBorder="1" applyAlignment="1">
      <alignment horizontal="left" vertical="center"/>
    </xf>
    <xf numFmtId="0" fontId="14" fillId="12" borderId="17" xfId="0" applyFont="1" applyFill="1" applyBorder="1" applyAlignment="1">
      <alignment horizontal="left" vertical="center"/>
    </xf>
    <xf numFmtId="0" fontId="10" fillId="13" borderId="11" xfId="0" applyFont="1" applyFill="1" applyBorder="1" applyAlignment="1">
      <alignment horizontal="left" vertical="center"/>
    </xf>
    <xf numFmtId="0" fontId="13" fillId="6" borderId="43" xfId="0" applyFont="1" applyFill="1" applyBorder="1" applyAlignment="1">
      <alignment horizontal="left" vertical="center"/>
    </xf>
    <xf numFmtId="0" fontId="13" fillId="6" borderId="31" xfId="0" applyFont="1" applyFill="1" applyBorder="1" applyAlignment="1">
      <alignment horizontal="left" vertical="center"/>
    </xf>
    <xf numFmtId="0" fontId="10" fillId="13" borderId="43" xfId="0" applyFont="1" applyFill="1" applyBorder="1" applyAlignment="1">
      <alignment horizontal="left" vertical="center"/>
    </xf>
    <xf numFmtId="0" fontId="10" fillId="13" borderId="31" xfId="0" applyFont="1" applyFill="1" applyBorder="1" applyAlignment="1">
      <alignment horizontal="left" vertical="center"/>
    </xf>
    <xf numFmtId="0" fontId="10" fillId="0" borderId="0" xfId="0" applyFont="1" applyAlignment="1"/>
    <xf numFmtId="0" fontId="0" fillId="0" borderId="0" xfId="0" applyFill="1" applyBorder="1"/>
    <xf numFmtId="0" fontId="10" fillId="0" borderId="0" xfId="0" applyFont="1" applyAlignment="1">
      <alignment horizontal="center" vertical="center"/>
    </xf>
    <xf numFmtId="0" fontId="10" fillId="7" borderId="17" xfId="0" applyFont="1" applyFill="1" applyBorder="1" applyAlignment="1">
      <alignment horizontal="center" vertical="center"/>
    </xf>
    <xf numFmtId="0" fontId="10" fillId="0" borderId="0" xfId="0" applyFont="1" applyAlignment="1" applyProtection="1">
      <alignment horizontal="center" vertical="center"/>
      <protection locked="0"/>
    </xf>
    <xf numFmtId="0" fontId="13" fillId="6" borderId="43" xfId="0" applyFont="1" applyFill="1" applyBorder="1" applyAlignment="1">
      <alignment horizontal="center" vertical="center"/>
    </xf>
    <xf numFmtId="0" fontId="13" fillId="0" borderId="21" xfId="0" applyFont="1" applyFill="1" applyBorder="1" applyAlignment="1">
      <alignment vertical="center"/>
    </xf>
    <xf numFmtId="0" fontId="13" fillId="0" borderId="0" xfId="0" applyFont="1" applyFill="1" applyBorder="1" applyAlignment="1">
      <alignment vertical="center"/>
    </xf>
    <xf numFmtId="0" fontId="13" fillId="6" borderId="11" xfId="0" applyFont="1" applyFill="1" applyBorder="1" applyAlignment="1">
      <alignment vertical="center"/>
    </xf>
    <xf numFmtId="0" fontId="13" fillId="6" borderId="45" xfId="0" applyFont="1" applyFill="1" applyBorder="1" applyAlignment="1">
      <alignment horizontal="center" vertical="center"/>
    </xf>
    <xf numFmtId="49" fontId="13" fillId="6" borderId="46" xfId="0" applyNumberFormat="1" applyFont="1" applyFill="1" applyBorder="1" applyAlignment="1">
      <alignment horizontal="center" vertical="center"/>
    </xf>
    <xf numFmtId="0" fontId="10" fillId="7" borderId="11" xfId="0" applyFont="1" applyFill="1" applyBorder="1" applyAlignment="1">
      <alignment horizontal="center" vertical="center"/>
    </xf>
    <xf numFmtId="0" fontId="10" fillId="0" borderId="11" xfId="0" applyFont="1" applyBorder="1" applyAlignment="1">
      <alignment horizontal="center" vertical="center"/>
    </xf>
    <xf numFmtId="0" fontId="10" fillId="0" borderId="21" xfId="0" applyFont="1" applyFill="1" applyBorder="1" applyAlignment="1">
      <alignment horizontal="center" vertical="center"/>
    </xf>
    <xf numFmtId="0" fontId="13" fillId="6" borderId="33" xfId="0" applyFont="1" applyFill="1" applyBorder="1" applyAlignment="1">
      <alignment horizontal="center" vertical="center"/>
    </xf>
    <xf numFmtId="49" fontId="13" fillId="6" borderId="31" xfId="0" applyNumberFormat="1" applyFont="1" applyFill="1" applyBorder="1" applyAlignment="1">
      <alignment horizontal="center" vertical="center"/>
    </xf>
    <xf numFmtId="0" fontId="10" fillId="21" borderId="17" xfId="0" applyFont="1" applyFill="1" applyBorder="1" applyAlignment="1">
      <alignment horizontal="center" vertical="center"/>
    </xf>
    <xf numFmtId="0" fontId="10" fillId="6" borderId="17" xfId="0" applyFont="1" applyFill="1" applyBorder="1" applyAlignment="1">
      <alignment horizontal="left" vertical="center"/>
    </xf>
    <xf numFmtId="0" fontId="10" fillId="13" borderId="17" xfId="0" applyFont="1" applyFill="1" applyBorder="1" applyAlignment="1">
      <alignment horizontal="center" vertical="center"/>
    </xf>
    <xf numFmtId="0" fontId="34" fillId="13" borderId="17" xfId="0" applyFont="1" applyFill="1" applyBorder="1" applyAlignment="1">
      <alignment vertical="center"/>
    </xf>
    <xf numFmtId="0" fontId="13" fillId="6" borderId="47" xfId="0" applyFont="1" applyFill="1" applyBorder="1" applyAlignment="1">
      <alignment horizontal="center" vertical="center"/>
    </xf>
    <xf numFmtId="49" fontId="13" fillId="6" borderId="48" xfId="0" applyNumberFormat="1" applyFont="1" applyFill="1" applyBorder="1" applyAlignment="1">
      <alignment horizontal="center" vertical="center"/>
    </xf>
    <xf numFmtId="0" fontId="10" fillId="0" borderId="0" xfId="0" applyFont="1" applyProtection="1">
      <protection locked="0"/>
    </xf>
    <xf numFmtId="0" fontId="10" fillId="6" borderId="17" xfId="0" applyFont="1" applyFill="1" applyBorder="1" applyAlignment="1" applyProtection="1">
      <alignment horizontal="center" vertical="center"/>
      <protection locked="0"/>
    </xf>
    <xf numFmtId="0" fontId="9" fillId="6" borderId="11" xfId="0" applyFont="1" applyFill="1" applyBorder="1" applyAlignment="1">
      <alignment horizontal="center" vertical="center"/>
    </xf>
    <xf numFmtId="178" fontId="35" fillId="5" borderId="17" xfId="0" applyNumberFormat="1" applyFont="1" applyFill="1" applyBorder="1" applyAlignment="1" applyProtection="1">
      <alignment horizontal="center" vertical="center" wrapText="1"/>
      <protection locked="0"/>
    </xf>
    <xf numFmtId="178" fontId="36" fillId="5" borderId="17" xfId="0" applyNumberFormat="1" applyFont="1" applyFill="1" applyBorder="1" applyAlignment="1" applyProtection="1">
      <alignment horizontal="center" vertical="center" wrapText="1"/>
      <protection locked="0"/>
    </xf>
    <xf numFmtId="178" fontId="36" fillId="0" borderId="17" xfId="0" applyNumberFormat="1" applyFont="1" applyFill="1" applyBorder="1" applyAlignment="1" applyProtection="1">
      <alignment horizontal="center" vertical="center" wrapText="1"/>
      <protection locked="0"/>
    </xf>
    <xf numFmtId="180" fontId="0" fillId="5" borderId="17" xfId="0" applyNumberFormat="1" applyFill="1" applyBorder="1" applyAlignment="1">
      <alignment horizontal="center"/>
    </xf>
    <xf numFmtId="180" fontId="22" fillId="7" borderId="17" xfId="0" applyNumberFormat="1" applyFont="1" applyFill="1" applyBorder="1" applyAlignment="1">
      <alignment horizontal="center"/>
    </xf>
    <xf numFmtId="180" fontId="0" fillId="0" borderId="17" xfId="0" applyNumberFormat="1" applyFill="1" applyBorder="1" applyAlignment="1">
      <alignment horizontal="center"/>
    </xf>
    <xf numFmtId="179" fontId="22" fillId="5" borderId="17" xfId="0" applyNumberFormat="1" applyFont="1" applyFill="1" applyBorder="1" applyAlignment="1">
      <alignment horizontal="center"/>
    </xf>
    <xf numFmtId="179" fontId="22" fillId="7" borderId="17" xfId="0" applyNumberFormat="1" applyFont="1" applyFill="1" applyBorder="1" applyAlignment="1">
      <alignment horizontal="center"/>
    </xf>
    <xf numFmtId="179" fontId="0" fillId="5" borderId="17" xfId="0" applyNumberFormat="1" applyFill="1" applyBorder="1" applyAlignment="1">
      <alignment horizontal="center"/>
    </xf>
    <xf numFmtId="180" fontId="0" fillId="7" borderId="17" xfId="0" applyNumberFormat="1" applyFill="1" applyBorder="1" applyAlignment="1">
      <alignment horizontal="center"/>
    </xf>
    <xf numFmtId="0" fontId="10" fillId="7" borderId="49" xfId="0" applyFont="1" applyFill="1" applyBorder="1" applyAlignment="1" applyProtection="1">
      <alignment horizontal="center" vertical="center"/>
      <protection locked="0"/>
    </xf>
    <xf numFmtId="0" fontId="36" fillId="5" borderId="17" xfId="0" applyFont="1" applyFill="1" applyBorder="1" applyAlignment="1" applyProtection="1">
      <alignment horizontal="center" vertical="center" wrapText="1"/>
      <protection locked="0"/>
    </xf>
    <xf numFmtId="0" fontId="35" fillId="5" borderId="17" xfId="0" applyFont="1" applyFill="1" applyBorder="1" applyAlignment="1" applyProtection="1">
      <alignment horizontal="center" vertical="center" wrapText="1"/>
      <protection locked="0"/>
    </xf>
    <xf numFmtId="0" fontId="36" fillId="0" borderId="17" xfId="0" applyFont="1" applyFill="1" applyBorder="1" applyAlignment="1" applyProtection="1">
      <alignment horizontal="center" vertical="center" wrapText="1"/>
      <protection locked="0"/>
    </xf>
    <xf numFmtId="176" fontId="36" fillId="5" borderId="17" xfId="0" applyNumberFormat="1" applyFont="1" applyFill="1" applyBorder="1" applyAlignment="1" applyProtection="1">
      <alignment horizontal="center" vertical="center" wrapText="1"/>
      <protection locked="0"/>
    </xf>
    <xf numFmtId="176" fontId="36" fillId="0" borderId="17" xfId="0" applyNumberFormat="1" applyFont="1" applyFill="1" applyBorder="1" applyAlignment="1" applyProtection="1">
      <alignment horizontal="center" vertical="center" wrapText="1"/>
      <protection locked="0"/>
    </xf>
    <xf numFmtId="0" fontId="37" fillId="14" borderId="50" xfId="0" applyFont="1" applyFill="1" applyBorder="1" applyProtection="1">
      <protection locked="0"/>
    </xf>
    <xf numFmtId="0" fontId="36" fillId="14" borderId="50" xfId="0" applyFont="1" applyFill="1" applyBorder="1" applyProtection="1">
      <protection locked="0"/>
    </xf>
    <xf numFmtId="0" fontId="13" fillId="6" borderId="17" xfId="0" applyFont="1" applyFill="1" applyBorder="1"/>
    <xf numFmtId="0" fontId="13" fillId="6" borderId="17" xfId="0" applyFont="1" applyFill="1" applyBorder="1" applyAlignment="1">
      <alignment horizontal="center"/>
    </xf>
    <xf numFmtId="0" fontId="13" fillId="6" borderId="17" xfId="0" applyFont="1" applyFill="1" applyBorder="1" applyAlignment="1" applyProtection="1">
      <alignment horizontal="center" vertical="center"/>
      <protection locked="0"/>
    </xf>
    <xf numFmtId="0" fontId="13" fillId="6" borderId="24" xfId="0" applyFont="1" applyFill="1" applyBorder="1" applyAlignment="1">
      <alignment horizontal="left" vertical="center"/>
    </xf>
    <xf numFmtId="0" fontId="13" fillId="6" borderId="25" xfId="0" applyFont="1" applyFill="1" applyBorder="1" applyAlignment="1">
      <alignment vertical="center"/>
    </xf>
    <xf numFmtId="0" fontId="10" fillId="11" borderId="17" xfId="0" applyFont="1" applyFill="1" applyBorder="1" applyAlignment="1">
      <alignment horizontal="center" vertical="center" wrapText="1"/>
    </xf>
    <xf numFmtId="1" fontId="10" fillId="11" borderId="17" xfId="0" applyNumberFormat="1" applyFont="1" applyFill="1" applyBorder="1" applyAlignment="1">
      <alignment horizontal="center" vertical="center" wrapText="1"/>
    </xf>
    <xf numFmtId="1" fontId="10" fillId="12" borderId="17" xfId="0" applyNumberFormat="1" applyFont="1" applyFill="1" applyBorder="1" applyAlignment="1">
      <alignment horizontal="center" vertical="center" wrapText="1"/>
    </xf>
    <xf numFmtId="178" fontId="15" fillId="11" borderId="17" xfId="0" applyNumberFormat="1" applyFont="1" applyFill="1" applyBorder="1" applyAlignment="1">
      <alignment horizontal="center" vertical="center" wrapText="1"/>
    </xf>
    <xf numFmtId="178" fontId="10" fillId="11" borderId="17" xfId="0" applyNumberFormat="1" applyFont="1" applyFill="1" applyBorder="1" applyAlignment="1">
      <alignment horizontal="center" vertical="center" wrapText="1"/>
    </xf>
    <xf numFmtId="178" fontId="10" fillId="12" borderId="17" xfId="0" applyNumberFormat="1" applyFont="1" applyFill="1" applyBorder="1" applyAlignment="1">
      <alignment horizontal="center" vertical="center" wrapText="1"/>
    </xf>
    <xf numFmtId="1" fontId="15" fillId="11" borderId="17" xfId="0" applyNumberFormat="1" applyFont="1" applyFill="1" applyBorder="1" applyAlignment="1">
      <alignment horizontal="center" vertical="center" wrapText="1"/>
    </xf>
    <xf numFmtId="1" fontId="14" fillId="11" borderId="17" xfId="0" applyNumberFormat="1" applyFont="1" applyFill="1" applyBorder="1" applyAlignment="1">
      <alignment horizontal="center" vertical="center" wrapText="1"/>
    </xf>
    <xf numFmtId="177" fontId="10" fillId="11" borderId="17" xfId="0" applyNumberFormat="1" applyFont="1" applyFill="1" applyBorder="1" applyAlignment="1">
      <alignment horizontal="center" vertical="center" wrapText="1"/>
    </xf>
    <xf numFmtId="0" fontId="10" fillId="11" borderId="17" xfId="0" applyFont="1" applyFill="1" applyBorder="1" applyAlignment="1">
      <alignment horizontal="center" vertical="center"/>
    </xf>
    <xf numFmtId="0" fontId="14" fillId="0" borderId="17" xfId="0" applyFont="1" applyBorder="1" applyAlignment="1" applyProtection="1">
      <alignment horizontal="center"/>
      <protection locked="0"/>
    </xf>
    <xf numFmtId="0" fontId="14" fillId="0" borderId="17" xfId="0" applyFont="1" applyFill="1" applyBorder="1" applyAlignment="1" applyProtection="1">
      <alignment horizontal="center"/>
      <protection locked="0"/>
    </xf>
    <xf numFmtId="0" fontId="15" fillId="0" borderId="0" xfId="0" applyFont="1" applyProtection="1">
      <protection locked="0"/>
    </xf>
    <xf numFmtId="177" fontId="36" fillId="0" borderId="17" xfId="0" applyNumberFormat="1" applyFont="1" applyFill="1" applyBorder="1" applyAlignment="1" applyProtection="1">
      <alignment horizontal="center" vertical="center" wrapText="1"/>
      <protection locked="0"/>
    </xf>
    <xf numFmtId="177" fontId="36" fillId="7" borderId="17" xfId="0" applyNumberFormat="1" applyFont="1" applyFill="1" applyBorder="1" applyAlignment="1" applyProtection="1">
      <alignment horizontal="center" vertical="center" wrapText="1"/>
      <protection locked="0"/>
    </xf>
    <xf numFmtId="0" fontId="13" fillId="6" borderId="3" xfId="0" applyFont="1" applyFill="1" applyBorder="1" applyAlignment="1">
      <alignment horizontal="left" vertical="center"/>
    </xf>
    <xf numFmtId="0" fontId="13" fillId="6" borderId="36" xfId="0" applyFont="1" applyFill="1" applyBorder="1" applyAlignment="1">
      <alignment vertical="center"/>
    </xf>
    <xf numFmtId="0" fontId="10" fillId="11" borderId="16" xfId="0" applyFont="1" applyFill="1" applyBorder="1" applyAlignment="1">
      <alignment horizontal="left" vertical="center"/>
    </xf>
    <xf numFmtId="0" fontId="10" fillId="13" borderId="17" xfId="0" applyFont="1" applyFill="1" applyBorder="1" applyAlignment="1">
      <alignment horizontal="left" vertical="top" wrapText="1"/>
    </xf>
    <xf numFmtId="0" fontId="10" fillId="13" borderId="17" xfId="0" applyFont="1" applyFill="1" applyBorder="1" applyAlignment="1">
      <alignment horizontal="center" vertical="center" wrapText="1"/>
    </xf>
    <xf numFmtId="0" fontId="13" fillId="6" borderId="5" xfId="0" applyFont="1" applyFill="1" applyBorder="1" applyAlignment="1">
      <alignment horizontal="left" vertical="center"/>
    </xf>
    <xf numFmtId="0" fontId="13" fillId="6" borderId="41" xfId="0" applyFont="1" applyFill="1" applyBorder="1" applyAlignment="1">
      <alignment horizontal="left" vertical="center"/>
    </xf>
    <xf numFmtId="0" fontId="10" fillId="13" borderId="17" xfId="0" applyFont="1" applyFill="1" applyBorder="1"/>
    <xf numFmtId="0" fontId="10" fillId="13" borderId="11" xfId="0" applyFont="1" applyFill="1" applyBorder="1" applyAlignment="1">
      <alignment horizontal="left"/>
    </xf>
    <xf numFmtId="0" fontId="10" fillId="13" borderId="43" xfId="0" applyFont="1" applyFill="1" applyBorder="1" applyAlignment="1">
      <alignment horizontal="left"/>
    </xf>
    <xf numFmtId="0" fontId="13" fillId="6" borderId="25" xfId="0" applyFont="1" applyFill="1" applyBorder="1"/>
    <xf numFmtId="0" fontId="13" fillId="6" borderId="26" xfId="0" applyFont="1" applyFill="1" applyBorder="1"/>
    <xf numFmtId="0" fontId="10" fillId="13" borderId="17" xfId="0" applyFont="1" applyFill="1" applyBorder="1" applyAlignment="1">
      <alignment horizontal="center" vertical="top"/>
    </xf>
    <xf numFmtId="0" fontId="10" fillId="13" borderId="17" xfId="0" applyFont="1" applyFill="1" applyBorder="1" applyAlignment="1">
      <alignment horizontal="left" vertical="top"/>
    </xf>
    <xf numFmtId="0" fontId="15" fillId="13" borderId="17" xfId="0" applyFont="1" applyFill="1" applyBorder="1"/>
    <xf numFmtId="0" fontId="13" fillId="6" borderId="51" xfId="0" applyFont="1" applyFill="1" applyBorder="1" applyAlignment="1">
      <alignment horizontal="left" vertical="center"/>
    </xf>
    <xf numFmtId="0" fontId="13" fillId="6" borderId="36" xfId="0" applyFont="1" applyFill="1" applyBorder="1"/>
    <xf numFmtId="0" fontId="10" fillId="13" borderId="31" xfId="0" applyFont="1" applyFill="1" applyBorder="1" applyAlignment="1">
      <alignment horizontal="left"/>
    </xf>
    <xf numFmtId="0" fontId="34" fillId="13" borderId="17" xfId="0" applyFont="1" applyFill="1" applyBorder="1"/>
    <xf numFmtId="0" fontId="13" fillId="6" borderId="6" xfId="0" applyFont="1" applyFill="1" applyBorder="1"/>
    <xf numFmtId="0" fontId="34" fillId="13" borderId="28" xfId="0" applyFont="1" applyFill="1" applyBorder="1"/>
    <xf numFmtId="0" fontId="10" fillId="7" borderId="0" xfId="0" applyFont="1" applyFill="1" applyProtection="1">
      <protection locked="0"/>
    </xf>
    <xf numFmtId="0" fontId="10" fillId="13" borderId="28" xfId="0" applyFont="1" applyFill="1" applyBorder="1"/>
    <xf numFmtId="0" fontId="0" fillId="0" borderId="0" xfId="0" applyAlignment="1"/>
    <xf numFmtId="0" fontId="9" fillId="6" borderId="11" xfId="0" applyFont="1" applyFill="1" applyBorder="1" applyAlignment="1">
      <alignment horizontal="left" vertical="center"/>
    </xf>
    <xf numFmtId="0" fontId="38" fillId="0" borderId="17" xfId="53" applyFont="1" applyFill="1" applyBorder="1" applyAlignment="1">
      <alignment vertical="center" wrapText="1"/>
    </xf>
    <xf numFmtId="0" fontId="0" fillId="4" borderId="46" xfId="0" applyFill="1" applyBorder="1" applyAlignment="1" applyProtection="1">
      <alignment horizontal="center"/>
      <protection locked="0"/>
    </xf>
    <xf numFmtId="0" fontId="0" fillId="21" borderId="46" xfId="0" applyFill="1" applyBorder="1" applyAlignment="1">
      <alignment horizontal="center"/>
    </xf>
    <xf numFmtId="0" fontId="0" fillId="4" borderId="46" xfId="0" applyFill="1" applyBorder="1" applyAlignment="1">
      <alignment horizontal="center"/>
    </xf>
    <xf numFmtId="0" fontId="9" fillId="7" borderId="11" xfId="0" applyFont="1" applyFill="1" applyBorder="1" applyAlignment="1">
      <alignment horizontal="left" vertical="center"/>
    </xf>
    <xf numFmtId="0" fontId="39" fillId="0" borderId="17" xfId="53" applyFont="1" applyBorder="1"/>
    <xf numFmtId="0" fontId="0" fillId="4" borderId="46" xfId="0" applyFont="1" applyFill="1" applyBorder="1" applyAlignment="1" applyProtection="1">
      <alignment horizontal="center"/>
      <protection locked="0"/>
    </xf>
    <xf numFmtId="0" fontId="5" fillId="5" borderId="0" xfId="53" applyFill="1"/>
    <xf numFmtId="0" fontId="20" fillId="8" borderId="0" xfId="0" applyFont="1" applyFill="1"/>
    <xf numFmtId="0" fontId="9" fillId="6" borderId="17" xfId="0" applyFont="1" applyFill="1" applyBorder="1" applyAlignment="1">
      <alignment horizontal="left" vertical="center"/>
    </xf>
    <xf numFmtId="0" fontId="0" fillId="0" borderId="0" xfId="53" applyFont="1"/>
    <xf numFmtId="0" fontId="20" fillId="10" borderId="0" xfId="0" applyFont="1" applyFill="1"/>
    <xf numFmtId="0" fontId="0" fillId="0" borderId="39" xfId="0" applyBorder="1" applyAlignment="1">
      <alignment horizontal="center"/>
    </xf>
    <xf numFmtId="0" fontId="0" fillId="0" borderId="52" xfId="0" applyBorder="1" applyAlignment="1">
      <alignment horizontal="center"/>
    </xf>
    <xf numFmtId="0" fontId="10" fillId="0" borderId="16" xfId="0" applyFont="1" applyBorder="1" applyAlignment="1">
      <alignment horizontal="center" vertical="center"/>
    </xf>
    <xf numFmtId="0" fontId="10" fillId="0" borderId="28" xfId="0" applyFont="1" applyBorder="1" applyAlignment="1">
      <alignment horizontal="center" vertical="center"/>
    </xf>
    <xf numFmtId="14" fontId="10" fillId="22" borderId="16" xfId="0" applyNumberFormat="1" applyFont="1" applyFill="1" applyBorder="1" applyAlignment="1">
      <alignment horizontal="center" vertical="center"/>
    </xf>
    <xf numFmtId="14" fontId="10" fillId="22" borderId="17" xfId="0" applyNumberFormat="1" applyFont="1" applyFill="1" applyBorder="1" applyAlignment="1">
      <alignment horizontal="center" vertical="center"/>
    </xf>
    <xf numFmtId="14" fontId="10" fillId="22" borderId="28" xfId="0" applyNumberFormat="1" applyFont="1" applyFill="1" applyBorder="1" applyAlignment="1">
      <alignment horizontal="center" vertical="center"/>
    </xf>
    <xf numFmtId="0" fontId="10" fillId="22" borderId="16" xfId="0" applyFont="1" applyFill="1" applyBorder="1" applyAlignment="1">
      <alignment horizontal="center" vertical="center"/>
    </xf>
    <xf numFmtId="0" fontId="10" fillId="22" borderId="17" xfId="0" applyFont="1" applyFill="1" applyBorder="1" applyAlignment="1">
      <alignment horizontal="center" vertical="center"/>
    </xf>
    <xf numFmtId="0" fontId="10" fillId="22" borderId="28" xfId="0" applyFont="1" applyFill="1" applyBorder="1" applyAlignment="1">
      <alignment horizontal="center" vertical="center"/>
    </xf>
    <xf numFmtId="177" fontId="10" fillId="22" borderId="16" xfId="0" applyNumberFormat="1" applyFont="1" applyFill="1" applyBorder="1" applyAlignment="1">
      <alignment horizontal="center" vertical="center"/>
    </xf>
    <xf numFmtId="177" fontId="10" fillId="22" borderId="17" xfId="0" applyNumberFormat="1" applyFont="1" applyFill="1" applyBorder="1" applyAlignment="1">
      <alignment horizontal="center" vertical="center"/>
    </xf>
    <xf numFmtId="177" fontId="10" fillId="22" borderId="28" xfId="0" applyNumberFormat="1" applyFont="1" applyFill="1" applyBorder="1" applyAlignment="1">
      <alignment horizontal="center" vertical="center"/>
    </xf>
    <xf numFmtId="177" fontId="10" fillId="22" borderId="43" xfId="0" applyNumberFormat="1" applyFont="1" applyFill="1" applyBorder="1" applyAlignment="1">
      <alignment horizontal="center" vertical="center"/>
    </xf>
    <xf numFmtId="177" fontId="10" fillId="22" borderId="53" xfId="0" applyNumberFormat="1" applyFont="1" applyFill="1" applyBorder="1" applyAlignment="1">
      <alignment horizontal="center" vertical="center"/>
    </xf>
    <xf numFmtId="0" fontId="10" fillId="0" borderId="19" xfId="0" applyFont="1" applyBorder="1" applyAlignment="1">
      <alignment horizontal="center" vertical="center"/>
    </xf>
    <xf numFmtId="0" fontId="10" fillId="0" borderId="30" xfId="0" applyFont="1" applyBorder="1" applyAlignment="1">
      <alignment horizontal="center" vertical="center"/>
    </xf>
    <xf numFmtId="14" fontId="10" fillId="22" borderId="19" xfId="0" applyNumberFormat="1" applyFont="1" applyFill="1" applyBorder="1" applyAlignment="1">
      <alignment horizontal="center" vertical="center"/>
    </xf>
    <xf numFmtId="14" fontId="10" fillId="22" borderId="29" xfId="0" applyNumberFormat="1" applyFont="1" applyFill="1" applyBorder="1" applyAlignment="1">
      <alignment horizontal="center" vertical="center"/>
    </xf>
    <xf numFmtId="14" fontId="10" fillId="22" borderId="30" xfId="0" applyNumberFormat="1" applyFont="1" applyFill="1" applyBorder="1" applyAlignment="1">
      <alignment horizontal="center" vertical="center"/>
    </xf>
    <xf numFmtId="0" fontId="39" fillId="0" borderId="31" xfId="0" applyFont="1" applyBorder="1" applyAlignment="1">
      <alignment horizontal="center" vertical="center"/>
    </xf>
    <xf numFmtId="0" fontId="39" fillId="0" borderId="31" xfId="0" applyFont="1" applyBorder="1" applyAlignment="1" applyProtection="1">
      <alignment horizontal="center" vertical="center"/>
    </xf>
    <xf numFmtId="0" fontId="39" fillId="0" borderId="17" xfId="0" applyFont="1" applyBorder="1" applyAlignment="1">
      <alignment horizontal="center" vertical="center"/>
    </xf>
    <xf numFmtId="0" fontId="39" fillId="0" borderId="0" xfId="0" applyFont="1" applyBorder="1" applyAlignment="1">
      <alignment horizontal="center" vertical="center"/>
    </xf>
    <xf numFmtId="0" fontId="40" fillId="0" borderId="0" xfId="0" applyFont="1" applyFill="1" applyBorder="1" applyAlignment="1">
      <alignment vertical="center"/>
    </xf>
    <xf numFmtId="0" fontId="0" fillId="0" borderId="17" xfId="0" applyFont="1" applyFill="1" applyBorder="1"/>
    <xf numFmtId="0" fontId="0" fillId="0" borderId="17" xfId="0" applyFont="1" applyFill="1" applyBorder="1" applyProtection="1"/>
    <xf numFmtId="0" fontId="0" fillId="0" borderId="17" xfId="0" applyFill="1" applyBorder="1" applyProtection="1"/>
    <xf numFmtId="0" fontId="0" fillId="0" borderId="17" xfId="0" applyFont="1" applyFill="1" applyBorder="1" applyAlignment="1" applyProtection="1">
      <alignment horizontal="center" vertical="center"/>
    </xf>
    <xf numFmtId="0" fontId="0" fillId="0" borderId="17" xfId="0" applyFill="1" applyBorder="1" applyAlignment="1" applyProtection="1">
      <alignment vertical="center" wrapText="1"/>
    </xf>
    <xf numFmtId="0" fontId="0" fillId="0" borderId="17" xfId="0" applyFill="1" applyBorder="1" applyAlignment="1" applyProtection="1">
      <alignment horizontal="center" vertical="center"/>
    </xf>
    <xf numFmtId="0" fontId="22" fillId="0" borderId="0" xfId="0" applyFont="1"/>
    <xf numFmtId="0" fontId="0" fillId="0" borderId="54" xfId="0" applyFont="1" applyBorder="1" applyAlignment="1">
      <alignment horizontal="left" vertical="center"/>
    </xf>
    <xf numFmtId="0" fontId="0" fillId="7" borderId="17" xfId="0" applyFont="1" applyFill="1" applyBorder="1"/>
    <xf numFmtId="0" fontId="40" fillId="0" borderId="17" xfId="0" applyFont="1" applyFill="1" applyBorder="1" applyAlignment="1">
      <alignment vertical="center"/>
    </xf>
    <xf numFmtId="0" fontId="0" fillId="0" borderId="17" xfId="0" applyFont="1" applyBorder="1"/>
    <xf numFmtId="0" fontId="0" fillId="0" borderId="20" xfId="0" applyFont="1" applyBorder="1" applyAlignment="1">
      <alignment horizontal="left" vertical="center"/>
    </xf>
    <xf numFmtId="0" fontId="0" fillId="0" borderId="8" xfId="0" applyFont="1" applyBorder="1" applyAlignment="1">
      <alignment horizontal="left" vertical="center"/>
    </xf>
    <xf numFmtId="0" fontId="40" fillId="0" borderId="17" xfId="0" applyFont="1" applyBorder="1" applyAlignment="1">
      <alignment vertical="center"/>
    </xf>
    <xf numFmtId="0" fontId="0" fillId="0" borderId="54" xfId="0" applyFont="1" applyFill="1" applyBorder="1" applyAlignment="1">
      <alignment horizontal="left" vertical="center"/>
    </xf>
    <xf numFmtId="0" fontId="0" fillId="0" borderId="8" xfId="0" applyFont="1" applyFill="1" applyBorder="1" applyAlignment="1">
      <alignment horizontal="left" vertical="center"/>
    </xf>
    <xf numFmtId="0" fontId="41" fillId="0" borderId="0" xfId="54"/>
    <xf numFmtId="0" fontId="13" fillId="6" borderId="55" xfId="0" applyFont="1" applyFill="1" applyBorder="1" applyAlignment="1">
      <alignment horizontal="center"/>
    </xf>
    <xf numFmtId="0" fontId="13" fillId="6" borderId="56" xfId="0" applyFont="1" applyFill="1" applyBorder="1" applyAlignment="1">
      <alignment horizontal="center"/>
    </xf>
    <xf numFmtId="0" fontId="13" fillId="6" borderId="48" xfId="0" applyFont="1" applyFill="1" applyBorder="1" applyAlignment="1">
      <alignment horizontal="center"/>
    </xf>
    <xf numFmtId="0" fontId="42" fillId="23" borderId="3" xfId="42" applyFont="1" applyFill="1" applyBorder="1" applyAlignment="1">
      <alignment horizontal="center" vertical="center" wrapText="1"/>
    </xf>
    <xf numFmtId="0" fontId="42" fillId="23" borderId="36" xfId="42" applyFont="1" applyFill="1" applyBorder="1" applyAlignment="1">
      <alignment horizontal="center" vertical="center" wrapText="1"/>
    </xf>
    <xf numFmtId="0" fontId="42" fillId="23" borderId="14" xfId="42" applyFont="1" applyFill="1" applyBorder="1" applyAlignment="1">
      <alignment horizontal="center" vertical="center" wrapText="1"/>
    </xf>
    <xf numFmtId="0" fontId="42" fillId="23" borderId="6" xfId="42" applyFont="1" applyFill="1" applyBorder="1" applyAlignment="1">
      <alignment horizontal="center" vertical="center" wrapText="1"/>
    </xf>
    <xf numFmtId="177" fontId="43" fillId="0" borderId="15" xfId="42" applyNumberFormat="1" applyFont="1" applyBorder="1" applyAlignment="1">
      <alignment horizontal="center" vertical="center"/>
    </xf>
    <xf numFmtId="0" fontId="43" fillId="0" borderId="4" xfId="42" applyFont="1" applyBorder="1" applyAlignment="1">
      <alignment horizontal="left" vertical="top" wrapText="1"/>
    </xf>
    <xf numFmtId="0" fontId="43" fillId="0" borderId="4" xfId="42" applyFont="1" applyBorder="1" applyAlignment="1">
      <alignment horizontal="center" vertical="top" wrapText="1"/>
    </xf>
    <xf numFmtId="181" fontId="44" fillId="0" borderId="4" xfId="42" applyNumberFormat="1" applyFont="1" applyBorder="1" applyAlignment="1">
      <alignment horizontal="center" vertical="top" wrapText="1"/>
    </xf>
    <xf numFmtId="181" fontId="44" fillId="0" borderId="5" xfId="42" applyNumberFormat="1" applyFont="1" applyBorder="1" applyAlignment="1">
      <alignment horizontal="center" vertical="top" wrapText="1"/>
    </xf>
    <xf numFmtId="0" fontId="43" fillId="0" borderId="27" xfId="42" applyFont="1" applyBorder="1" applyAlignment="1">
      <alignment horizontal="center" vertical="top"/>
    </xf>
    <xf numFmtId="0" fontId="43" fillId="0" borderId="16" xfId="42" applyFont="1" applyFill="1" applyBorder="1" applyAlignment="1">
      <alignment horizontal="center" vertical="top"/>
    </xf>
    <xf numFmtId="0" fontId="43" fillId="0" borderId="17" xfId="42" applyFont="1" applyFill="1" applyBorder="1" applyAlignment="1">
      <alignment horizontal="left" vertical="top" wrapText="1"/>
    </xf>
    <xf numFmtId="0" fontId="43" fillId="0" borderId="17" xfId="42" applyFont="1" applyFill="1" applyBorder="1" applyAlignment="1">
      <alignment horizontal="center" vertical="center" wrapText="1"/>
    </xf>
    <xf numFmtId="181" fontId="44" fillId="0" borderId="17" xfId="42" applyNumberFormat="1" applyFont="1" applyFill="1" applyBorder="1" applyAlignment="1">
      <alignment horizontal="center" vertical="center" wrapText="1"/>
    </xf>
    <xf numFmtId="181" fontId="44" fillId="0" borderId="11" xfId="42" applyNumberFormat="1" applyFont="1" applyFill="1" applyBorder="1" applyAlignment="1">
      <alignment horizontal="left" vertical="top" wrapText="1"/>
    </xf>
    <xf numFmtId="0" fontId="43" fillId="0" borderId="28" xfId="42" applyFont="1" applyFill="1" applyBorder="1" applyAlignment="1">
      <alignment horizontal="center" vertical="center"/>
    </xf>
    <xf numFmtId="0" fontId="43" fillId="0" borderId="18" xfId="42" applyFont="1" applyFill="1" applyBorder="1" applyAlignment="1">
      <alignment horizontal="center" vertical="center" wrapText="1"/>
    </xf>
    <xf numFmtId="0" fontId="45" fillId="0" borderId="54" xfId="42" applyFont="1" applyFill="1" applyBorder="1" applyAlignment="1">
      <alignment horizontal="left" vertical="top" wrapText="1"/>
    </xf>
    <xf numFmtId="0" fontId="45" fillId="0" borderId="17" xfId="42" applyFont="1" applyFill="1" applyBorder="1" applyAlignment="1">
      <alignment horizontal="center" vertical="center" wrapText="1"/>
    </xf>
    <xf numFmtId="16" fontId="43" fillId="0" borderId="19" xfId="42" applyNumberFormat="1" applyFont="1" applyFill="1" applyBorder="1" applyAlignment="1">
      <alignment horizontal="center" vertical="center"/>
    </xf>
    <xf numFmtId="0" fontId="43" fillId="0" borderId="29" xfId="42" applyFont="1" applyFill="1" applyBorder="1" applyAlignment="1">
      <alignment horizontal="left" vertical="top" wrapText="1"/>
    </xf>
    <xf numFmtId="0" fontId="43" fillId="0" borderId="29" xfId="42" applyFont="1" applyBorder="1" applyAlignment="1">
      <alignment horizontal="center" vertical="center" wrapText="1"/>
    </xf>
    <xf numFmtId="181" fontId="44" fillId="0" borderId="29" xfId="42" applyNumberFormat="1" applyFont="1" applyFill="1" applyBorder="1" applyAlignment="1">
      <alignment horizontal="left" vertical="center" wrapText="1"/>
    </xf>
    <xf numFmtId="181" fontId="44" fillId="0" borderId="55" xfId="42" applyNumberFormat="1" applyFont="1" applyFill="1" applyBorder="1" applyAlignment="1">
      <alignment horizontal="left" vertical="center" wrapText="1"/>
    </xf>
    <xf numFmtId="0" fontId="43" fillId="0" borderId="30" xfId="42" applyFont="1" applyFill="1" applyBorder="1" applyAlignment="1">
      <alignment horizontal="left" vertical="center"/>
    </xf>
    <xf numFmtId="16" fontId="43" fillId="0" borderId="0" xfId="42" applyNumberFormat="1" applyFont="1" applyFill="1" applyBorder="1" applyAlignment="1">
      <alignment horizontal="center" vertical="top"/>
    </xf>
    <xf numFmtId="0" fontId="43" fillId="0" borderId="0" xfId="42" applyFont="1" applyFill="1" applyBorder="1" applyAlignment="1">
      <alignment horizontal="left" vertical="top" wrapText="1"/>
    </xf>
    <xf numFmtId="181" fontId="44" fillId="0" borderId="0" xfId="42" applyNumberFormat="1" applyFont="1" applyFill="1" applyBorder="1" applyAlignment="1">
      <alignment horizontal="left" vertical="top" wrapText="1"/>
    </xf>
    <xf numFmtId="0" fontId="43" fillId="0" borderId="0" xfId="42" applyFont="1" applyFill="1" applyBorder="1" applyAlignment="1">
      <alignment horizontal="left" vertical="top"/>
    </xf>
    <xf numFmtId="0" fontId="46" fillId="23" borderId="3" xfId="42" applyFont="1" applyFill="1" applyBorder="1" applyAlignment="1">
      <alignment horizontal="center" vertical="center" wrapText="1"/>
    </xf>
    <xf numFmtId="0" fontId="46" fillId="23" borderId="36" xfId="42" applyFont="1" applyFill="1" applyBorder="1" applyAlignment="1">
      <alignment horizontal="center" vertical="center" wrapText="1"/>
    </xf>
    <xf numFmtId="0" fontId="46" fillId="23" borderId="14" xfId="42" applyFont="1" applyFill="1" applyBorder="1" applyAlignment="1">
      <alignment horizontal="center" vertical="center" wrapText="1"/>
    </xf>
    <xf numFmtId="0" fontId="46" fillId="23" borderId="6" xfId="42" applyFont="1" applyFill="1" applyBorder="1" applyAlignment="1">
      <alignment horizontal="center" vertical="center" wrapText="1"/>
    </xf>
    <xf numFmtId="0" fontId="35" fillId="0" borderId="15" xfId="42" applyFont="1" applyBorder="1" applyAlignment="1">
      <alignment horizontal="center" vertical="center"/>
    </xf>
    <xf numFmtId="0" fontId="35" fillId="0" borderId="4" xfId="42" applyFont="1" applyBorder="1" applyAlignment="1">
      <alignment horizontal="left" vertical="center" wrapText="1"/>
    </xf>
    <xf numFmtId="0" fontId="35" fillId="0" borderId="4" xfId="42" applyFont="1" applyBorder="1" applyAlignment="1">
      <alignment horizontal="center" vertical="center" wrapText="1"/>
    </xf>
    <xf numFmtId="181" fontId="35" fillId="0" borderId="4" xfId="42" applyNumberFormat="1" applyFont="1" applyBorder="1" applyAlignment="1">
      <alignment horizontal="center" vertical="top" wrapText="1"/>
    </xf>
    <xf numFmtId="181" fontId="35" fillId="0" borderId="5" xfId="42" applyNumberFormat="1" applyFont="1" applyBorder="1" applyAlignment="1">
      <alignment horizontal="center" vertical="top" wrapText="1"/>
    </xf>
    <xf numFmtId="0" fontId="35" fillId="0" borderId="27" xfId="42" applyFont="1" applyBorder="1" applyAlignment="1">
      <alignment horizontal="center" vertical="top"/>
    </xf>
    <xf numFmtId="0" fontId="35" fillId="0" borderId="16" xfId="42" applyFont="1" applyBorder="1" applyAlignment="1">
      <alignment horizontal="center" vertical="top"/>
    </xf>
    <xf numFmtId="0" fontId="35" fillId="0" borderId="17" xfId="42" applyFont="1" applyBorder="1" applyAlignment="1">
      <alignment horizontal="left" vertical="top" wrapText="1"/>
    </xf>
    <xf numFmtId="181" fontId="35" fillId="0" borderId="17" xfId="42" applyNumberFormat="1" applyFont="1" applyBorder="1" applyAlignment="1">
      <alignment horizontal="left" vertical="top" wrapText="1"/>
    </xf>
    <xf numFmtId="181" fontId="35" fillId="0" borderId="11" xfId="42" applyNumberFormat="1" applyFont="1" applyBorder="1" applyAlignment="1">
      <alignment horizontal="left" vertical="top" wrapText="1"/>
    </xf>
    <xf numFmtId="0" fontId="35" fillId="0" borderId="28" xfId="42" applyFont="1" applyBorder="1" applyAlignment="1">
      <alignment horizontal="center" vertical="top"/>
    </xf>
    <xf numFmtId="0" fontId="35" fillId="0" borderId="4" xfId="42" applyFont="1" applyBorder="1" applyAlignment="1" applyProtection="1">
      <alignment horizontal="center" vertical="center" wrapText="1"/>
    </xf>
    <xf numFmtId="181" fontId="35" fillId="0" borderId="17" xfId="42" applyNumberFormat="1" applyFont="1" applyBorder="1" applyAlignment="1" applyProtection="1">
      <alignment horizontal="left" vertical="top" wrapText="1"/>
    </xf>
    <xf numFmtId="181" fontId="35" fillId="0" borderId="11" xfId="42" applyNumberFormat="1" applyFont="1" applyBorder="1" applyAlignment="1" applyProtection="1">
      <alignment horizontal="left" vertical="top" wrapText="1"/>
    </xf>
    <xf numFmtId="0" fontId="35" fillId="0" borderId="28" xfId="42" applyFont="1" applyBorder="1" applyAlignment="1" applyProtection="1">
      <alignment horizontal="center" vertical="top"/>
    </xf>
    <xf numFmtId="0" fontId="43" fillId="0" borderId="16" xfId="42" applyFont="1" applyBorder="1" applyAlignment="1">
      <alignment horizontal="center" vertical="top"/>
    </xf>
    <xf numFmtId="0" fontId="43" fillId="0" borderId="17" xfId="42" applyFont="1" applyBorder="1" applyAlignment="1">
      <alignment horizontal="left" vertical="top" wrapText="1"/>
    </xf>
    <xf numFmtId="181" fontId="35" fillId="0" borderId="17" xfId="42" applyNumberFormat="1" applyFont="1" applyBorder="1" applyAlignment="1">
      <alignment horizontal="center" vertical="center" wrapText="1"/>
    </xf>
    <xf numFmtId="181" fontId="35" fillId="0" borderId="11" xfId="42" applyNumberFormat="1" applyFont="1" applyBorder="1" applyAlignment="1">
      <alignment horizontal="center" vertical="center" wrapText="1"/>
    </xf>
    <xf numFmtId="0" fontId="35" fillId="0" borderId="28" xfId="42" applyFont="1" applyBorder="1" applyAlignment="1">
      <alignment horizontal="center" vertical="center"/>
    </xf>
    <xf numFmtId="0" fontId="43" fillId="0" borderId="19" xfId="42" applyFont="1" applyBorder="1" applyAlignment="1">
      <alignment horizontal="center" vertical="top"/>
    </xf>
    <xf numFmtId="0" fontId="43" fillId="0" borderId="29" xfId="42" applyFont="1" applyBorder="1" applyAlignment="1">
      <alignment horizontal="left" vertical="top" wrapText="1"/>
    </xf>
    <xf numFmtId="181" fontId="44" fillId="0" borderId="29" xfId="42" applyNumberFormat="1" applyFont="1" applyBorder="1" applyAlignment="1">
      <alignment horizontal="left" vertical="top" wrapText="1"/>
    </xf>
    <xf numFmtId="181" fontId="44" fillId="0" borderId="55" xfId="42" applyNumberFormat="1" applyFont="1" applyBorder="1" applyAlignment="1">
      <alignment horizontal="left" vertical="top" wrapText="1"/>
    </xf>
    <xf numFmtId="0" fontId="43" fillId="0" borderId="30" xfId="42" applyFont="1" applyBorder="1" applyAlignment="1">
      <alignment vertical="top"/>
    </xf>
    <xf numFmtId="0" fontId="47" fillId="0" borderId="0" xfId="49" applyFont="1" applyAlignment="1">
      <alignment horizontal="center"/>
    </xf>
    <xf numFmtId="0" fontId="47" fillId="0" borderId="0" xfId="49" applyFont="1" applyAlignment="1"/>
    <xf numFmtId="0" fontId="48" fillId="0" borderId="24" xfId="54" applyFont="1" applyBorder="1" applyAlignment="1">
      <alignment horizontal="left" vertical="center"/>
    </xf>
    <xf numFmtId="0" fontId="41" fillId="0" borderId="25" xfId="54" applyBorder="1" applyAlignment="1">
      <alignment vertical="center" wrapText="1"/>
    </xf>
    <xf numFmtId="0" fontId="41" fillId="0" borderId="25" xfId="54" applyBorder="1" applyAlignment="1">
      <alignment vertical="center"/>
    </xf>
    <xf numFmtId="14" fontId="41" fillId="0" borderId="25" xfId="54" applyNumberFormat="1" applyBorder="1" applyAlignment="1">
      <alignment vertical="center"/>
    </xf>
    <xf numFmtId="0" fontId="41" fillId="0" borderId="25" xfId="54" applyBorder="1"/>
    <xf numFmtId="0" fontId="48" fillId="0" borderId="26" xfId="54" applyFont="1" applyBorder="1" applyAlignment="1">
      <alignment vertical="center"/>
    </xf>
    <xf numFmtId="0" fontId="0" fillId="0" borderId="17" xfId="0" applyFont="1" applyFill="1" applyBorder="1" quotePrefix="1"/>
    <xf numFmtId="0" fontId="10" fillId="11" borderId="17" xfId="0" applyFont="1" applyFill="1" applyBorder="1" applyAlignment="1" quotePrefix="1">
      <alignment horizontal="center" vertical="center"/>
    </xf>
    <xf numFmtId="0" fontId="10" fillId="11" borderId="16" xfId="0" applyFont="1" applyFill="1" applyBorder="1" applyAlignment="1" quotePrefix="1">
      <alignment horizontal="left" vertical="center"/>
    </xf>
    <xf numFmtId="0" fontId="10" fillId="11" borderId="17" xfId="0" applyFont="1" applyFill="1" applyBorder="1" applyAlignment="1" quotePrefix="1">
      <alignment horizontal="left" vertical="center"/>
    </xf>
    <xf numFmtId="49" fontId="13" fillId="6" borderId="46" xfId="0" applyNumberFormat="1" applyFont="1" applyFill="1" applyBorder="1" applyAlignment="1" quotePrefix="1">
      <alignment horizontal="center" vertical="center"/>
    </xf>
    <xf numFmtId="49" fontId="13" fillId="6" borderId="31" xfId="0" applyNumberFormat="1" applyFont="1" applyFill="1" applyBorder="1" applyAlignment="1" quotePrefix="1">
      <alignment horizontal="center" vertical="center"/>
    </xf>
    <xf numFmtId="0" fontId="10" fillId="11" borderId="17" xfId="0" applyFont="1" applyFill="1" applyBorder="1" applyAlignment="1" quotePrefix="1">
      <alignment horizontal="right" vertical="center"/>
    </xf>
  </cellXfs>
  <cellStyles count="55">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常规 2 2" xfId="45"/>
    <cellStyle name="40% - 强调文字颜色 5" xfId="46" builtinId="47"/>
    <cellStyle name="60% - 强调文字颜色 5" xfId="47" builtinId="48"/>
    <cellStyle name="强调文字颜色 6" xfId="48" builtinId="49"/>
    <cellStyle name="Normal 4" xfId="49"/>
    <cellStyle name="40% - 强调文字颜色 6" xfId="50" builtinId="51"/>
    <cellStyle name="60% - 强调文字颜色 6" xfId="51" builtinId="52"/>
    <cellStyle name="Normal 3 2 2 2 2 2" xfId="52"/>
    <cellStyle name="常规 2" xfId="53"/>
    <cellStyle name="常规 3" xfId="54"/>
  </cellStyles>
  <dxfs count="8">
    <dxf>
      <font>
        <b val="1"/>
        <i val="0"/>
      </font>
      <fill>
        <patternFill patternType="solid">
          <bgColor rgb="FFFFC000"/>
        </patternFill>
      </fill>
    </dxf>
    <dxf>
      <font>
        <b val="1"/>
      </font>
      <fill>
        <patternFill patternType="solid">
          <bgColor rgb="FFFFC000"/>
        </patternFill>
      </fill>
    </dxf>
    <dxf>
      <fill>
        <patternFill patternType="solid">
          <bgColor rgb="FF92D05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theme="0"/>
        </patternFill>
      </fill>
    </dxf>
    <dxf>
      <font>
        <color rgb="FF9C0006"/>
      </font>
      <fill>
        <patternFill patternType="solid">
          <bgColor rgb="FFFFC7CE"/>
        </patternFill>
      </fill>
    </dxf>
  </dxfs>
  <tableStyles count="0" defaultTableStyle="TableStyleMedium2" defaultPivotStyle="PivotStyleLight16"/>
  <colors>
    <mruColors>
      <color rgb="00CC66FF"/>
      <color rgb="00FF00FF"/>
      <color rgb="00CC00CC"/>
      <color rgb="00CC0099"/>
      <color rgb="00800080"/>
      <color rgb="00FF6699"/>
      <color rgb="0000FF00"/>
      <color rgb="009900FF"/>
      <color rgb="00FF9900"/>
      <color rgb="00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microsoft.com/office/2006/relationships/vbaProject" Target="vbaProject.bin"/><Relationship Id="rId26" Type="http://schemas.openxmlformats.org/officeDocument/2006/relationships/sharedStrings" Target="sharedStrings.xml"/><Relationship Id="rId25" Type="http://schemas.openxmlformats.org/officeDocument/2006/relationships/styles" Target="styles.xml"/><Relationship Id="rId24" Type="http://schemas.openxmlformats.org/officeDocument/2006/relationships/theme" Target="theme/theme1.xml"/><Relationship Id="rId23" Type="http://schemas.openxmlformats.org/officeDocument/2006/relationships/externalLink" Target="externalLinks/externalLink6.xml"/><Relationship Id="rId22" Type="http://schemas.openxmlformats.org/officeDocument/2006/relationships/externalLink" Target="externalLinks/externalLink5.xml"/><Relationship Id="rId21" Type="http://schemas.openxmlformats.org/officeDocument/2006/relationships/externalLink" Target="externalLinks/externalLink4.xml"/><Relationship Id="rId20" Type="http://schemas.openxmlformats.org/officeDocument/2006/relationships/externalLink" Target="externalLinks/externalLink3.xml"/><Relationship Id="rId2" Type="http://schemas.openxmlformats.org/officeDocument/2006/relationships/worksheet" Target="worksheets/sheet2.xml"/><Relationship Id="rId19" Type="http://schemas.openxmlformats.org/officeDocument/2006/relationships/externalLink" Target="externalLinks/externalLink2.xml"/><Relationship Id="rId18" Type="http://schemas.openxmlformats.org/officeDocument/2006/relationships/externalLink" Target="externalLinks/externalLink1.xml"/><Relationship Id="rId17" Type="http://schemas.openxmlformats.org/officeDocument/2006/relationships/customXml" Target="../customXml/item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7" Type="http://schemas.openxmlformats.org/officeDocument/2006/relationships/image" Target="../media/image11.png"/><Relationship Id="rId6" Type="http://schemas.openxmlformats.org/officeDocument/2006/relationships/image" Target="../media/image10.png"/><Relationship Id="rId5" Type="http://schemas.openxmlformats.org/officeDocument/2006/relationships/image" Target="../media/image9.jpeg"/><Relationship Id="rId4" Type="http://schemas.openxmlformats.org/officeDocument/2006/relationships/image" Target="../media/image8.png"/><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3</xdr:col>
      <xdr:colOff>28575</xdr:colOff>
      <xdr:row>1</xdr:row>
      <xdr:rowOff>28575</xdr:rowOff>
    </xdr:from>
    <xdr:to>
      <xdr:col>7</xdr:col>
      <xdr:colOff>666750</xdr:colOff>
      <xdr:row>3</xdr:row>
      <xdr:rowOff>142875</xdr:rowOff>
    </xdr:to>
    <xdr:sp>
      <xdr:nvSpPr>
        <xdr:cNvPr id="2" name="矩形 1"/>
        <xdr:cNvSpPr/>
      </xdr:nvSpPr>
      <xdr:spPr>
        <a:xfrm>
          <a:off x="2162175" y="215900"/>
          <a:ext cx="3438525" cy="469900"/>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1</xdr:col>
      <xdr:colOff>257175</xdr:colOff>
      <xdr:row>1</xdr:row>
      <xdr:rowOff>76200</xdr:rowOff>
    </xdr:from>
    <xdr:to>
      <xdr:col>2</xdr:col>
      <xdr:colOff>904240</xdr:colOff>
      <xdr:row>3</xdr:row>
      <xdr:rowOff>104775</xdr:rowOff>
    </xdr:to>
    <xdr:pic>
      <xdr:nvPicPr>
        <xdr:cNvPr id="3" name="图片 2" descr="星宇股份-标准组合.png"/>
        <xdr:cNvPicPr/>
      </xdr:nvPicPr>
      <xdr:blipFill>
        <a:blip r:embed="rId1" cstate="print"/>
        <a:stretch>
          <a:fillRect/>
        </a:stretch>
      </xdr:blipFill>
      <xdr:spPr>
        <a:xfrm>
          <a:off x="457200" y="263525"/>
          <a:ext cx="1332865" cy="38417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5</xdr:col>
      <xdr:colOff>100853</xdr:colOff>
      <xdr:row>1</xdr:row>
      <xdr:rowOff>56030</xdr:rowOff>
    </xdr:from>
    <xdr:to>
      <xdr:col>8</xdr:col>
      <xdr:colOff>381000</xdr:colOff>
      <xdr:row>3</xdr:row>
      <xdr:rowOff>44824</xdr:rowOff>
    </xdr:to>
    <xdr:sp>
      <xdr:nvSpPr>
        <xdr:cNvPr id="2" name="文本框 1"/>
        <xdr:cNvSpPr txBox="1"/>
      </xdr:nvSpPr>
      <xdr:spPr>
        <a:xfrm>
          <a:off x="4053205" y="278130"/>
          <a:ext cx="258572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CH1</a:t>
          </a:r>
          <a:endParaRPr lang="zh-CN" altLang="en-US" sz="2800" b="1"/>
        </a:p>
      </xdr:txBody>
    </xdr:sp>
    <xdr:clientData/>
  </xdr:twoCellAnchor>
  <xdr:twoCellAnchor>
    <xdr:from>
      <xdr:col>10</xdr:col>
      <xdr:colOff>793581</xdr:colOff>
      <xdr:row>1</xdr:row>
      <xdr:rowOff>56030</xdr:rowOff>
    </xdr:from>
    <xdr:to>
      <xdr:col>14</xdr:col>
      <xdr:colOff>0</xdr:colOff>
      <xdr:row>3</xdr:row>
      <xdr:rowOff>44824</xdr:rowOff>
    </xdr:to>
    <xdr:sp>
      <xdr:nvSpPr>
        <xdr:cNvPr id="3" name="文本框 2"/>
        <xdr:cNvSpPr txBox="1"/>
      </xdr:nvSpPr>
      <xdr:spPr>
        <a:xfrm>
          <a:off x="8860790" y="278130"/>
          <a:ext cx="2578735"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CH1_ByP</a:t>
          </a:r>
          <a:endParaRPr lang="zh-CN" altLang="en-US" sz="2800" b="1"/>
        </a:p>
      </xdr:txBody>
    </xdr:sp>
    <xdr:clientData/>
  </xdr:twoCellAnchor>
  <xdr:twoCellAnchor>
    <xdr:from>
      <xdr:col>17</xdr:col>
      <xdr:colOff>706989</xdr:colOff>
      <xdr:row>1</xdr:row>
      <xdr:rowOff>56030</xdr:rowOff>
    </xdr:from>
    <xdr:to>
      <xdr:col>20</xdr:col>
      <xdr:colOff>727363</xdr:colOff>
      <xdr:row>3</xdr:row>
      <xdr:rowOff>44824</xdr:rowOff>
    </xdr:to>
    <xdr:sp>
      <xdr:nvSpPr>
        <xdr:cNvPr id="4" name="文本框 3"/>
        <xdr:cNvSpPr txBox="1"/>
      </xdr:nvSpPr>
      <xdr:spPr>
        <a:xfrm>
          <a:off x="14451330" y="278130"/>
          <a:ext cx="257302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CH2</a:t>
          </a:r>
          <a:endParaRPr lang="zh-CN" altLang="en-US" sz="2800" b="1"/>
        </a:p>
      </xdr:txBody>
    </xdr:sp>
    <xdr:clientData/>
  </xdr:twoCellAnchor>
  <xdr:twoCellAnchor>
    <xdr:from>
      <xdr:col>24</xdr:col>
      <xdr:colOff>655035</xdr:colOff>
      <xdr:row>1</xdr:row>
      <xdr:rowOff>56030</xdr:rowOff>
    </xdr:from>
    <xdr:to>
      <xdr:col>28</xdr:col>
      <xdr:colOff>190500</xdr:colOff>
      <xdr:row>3</xdr:row>
      <xdr:rowOff>44824</xdr:rowOff>
    </xdr:to>
    <xdr:sp>
      <xdr:nvSpPr>
        <xdr:cNvPr id="5" name="文本框 4"/>
        <xdr:cNvSpPr txBox="1"/>
      </xdr:nvSpPr>
      <xdr:spPr>
        <a:xfrm>
          <a:off x="20323810" y="278130"/>
          <a:ext cx="2583815"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CH2_Alt</a:t>
          </a:r>
          <a:endParaRPr lang="zh-CN" altLang="en-US" sz="2800" b="1"/>
        </a:p>
      </xdr:txBody>
    </xdr:sp>
    <xdr:clientData/>
  </xdr:twoCellAnchor>
  <xdr:twoCellAnchor>
    <xdr:from>
      <xdr:col>31</xdr:col>
      <xdr:colOff>706989</xdr:colOff>
      <xdr:row>1</xdr:row>
      <xdr:rowOff>56030</xdr:rowOff>
    </xdr:from>
    <xdr:to>
      <xdr:col>34</xdr:col>
      <xdr:colOff>727363</xdr:colOff>
      <xdr:row>3</xdr:row>
      <xdr:rowOff>44824</xdr:rowOff>
    </xdr:to>
    <xdr:sp>
      <xdr:nvSpPr>
        <xdr:cNvPr id="6" name="文本框 5"/>
        <xdr:cNvSpPr txBox="1"/>
      </xdr:nvSpPr>
      <xdr:spPr>
        <a:xfrm>
          <a:off x="26052780" y="278130"/>
          <a:ext cx="2201545"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CH3</a:t>
          </a:r>
          <a:endParaRPr lang="zh-CN" altLang="en-US" sz="2800" b="1"/>
        </a:p>
      </xdr:txBody>
    </xdr:sp>
    <xdr:clientData/>
  </xdr:twoCellAnchor>
  <xdr:twoCellAnchor>
    <xdr:from>
      <xdr:col>38</xdr:col>
      <xdr:colOff>1070670</xdr:colOff>
      <xdr:row>1</xdr:row>
      <xdr:rowOff>56030</xdr:rowOff>
    </xdr:from>
    <xdr:to>
      <xdr:col>42</xdr:col>
      <xdr:colOff>277090</xdr:colOff>
      <xdr:row>3</xdr:row>
      <xdr:rowOff>44824</xdr:rowOff>
    </xdr:to>
    <xdr:sp>
      <xdr:nvSpPr>
        <xdr:cNvPr id="7" name="文本框 6"/>
        <xdr:cNvSpPr txBox="1"/>
      </xdr:nvSpPr>
      <xdr:spPr>
        <a:xfrm>
          <a:off x="31642050" y="278130"/>
          <a:ext cx="258191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CH4</a:t>
          </a:r>
          <a:endParaRPr lang="zh-CN" altLang="en-US" sz="2800" b="1"/>
        </a:p>
      </xdr:txBody>
    </xdr:sp>
    <xdr:clientData/>
  </xdr:twoCellAnchor>
  <xdr:twoCellAnchor>
    <xdr:from>
      <xdr:col>46</xdr:col>
      <xdr:colOff>35291</xdr:colOff>
      <xdr:row>1</xdr:row>
      <xdr:rowOff>56030</xdr:rowOff>
    </xdr:from>
    <xdr:to>
      <xdr:col>49</xdr:col>
      <xdr:colOff>303067</xdr:colOff>
      <xdr:row>3</xdr:row>
      <xdr:rowOff>44824</xdr:rowOff>
    </xdr:to>
    <xdr:sp>
      <xdr:nvSpPr>
        <xdr:cNvPr id="8" name="文本框 7"/>
        <xdr:cNvSpPr txBox="1"/>
      </xdr:nvSpPr>
      <xdr:spPr>
        <a:xfrm>
          <a:off x="37439600" y="278130"/>
          <a:ext cx="257302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HSD1</a:t>
          </a:r>
          <a:endParaRPr lang="zh-CN" altLang="en-US" sz="2800" b="1"/>
        </a:p>
      </xdr:txBody>
    </xdr:sp>
    <xdr:clientData/>
  </xdr:twoCellAnchor>
  <xdr:twoCellAnchor>
    <xdr:from>
      <xdr:col>53</xdr:col>
      <xdr:colOff>35291</xdr:colOff>
      <xdr:row>1</xdr:row>
      <xdr:rowOff>56030</xdr:rowOff>
    </xdr:from>
    <xdr:to>
      <xdr:col>56</xdr:col>
      <xdr:colOff>303067</xdr:colOff>
      <xdr:row>3</xdr:row>
      <xdr:rowOff>44824</xdr:rowOff>
    </xdr:to>
    <xdr:sp>
      <xdr:nvSpPr>
        <xdr:cNvPr id="9" name="文本框 8"/>
        <xdr:cNvSpPr txBox="1"/>
      </xdr:nvSpPr>
      <xdr:spPr>
        <a:xfrm>
          <a:off x="43173650" y="278130"/>
          <a:ext cx="257302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HSD2</a:t>
          </a:r>
          <a:endParaRPr lang="zh-CN" altLang="en-US" sz="2800" b="1"/>
        </a:p>
      </xdr:txBody>
    </xdr:sp>
    <xdr:clientData/>
  </xdr:twoCellAnchor>
  <xdr:twoCellAnchor>
    <xdr:from>
      <xdr:col>60</xdr:col>
      <xdr:colOff>8077</xdr:colOff>
      <xdr:row>1</xdr:row>
      <xdr:rowOff>56030</xdr:rowOff>
    </xdr:from>
    <xdr:to>
      <xdr:col>62</xdr:col>
      <xdr:colOff>547995</xdr:colOff>
      <xdr:row>3</xdr:row>
      <xdr:rowOff>44824</xdr:rowOff>
    </xdr:to>
    <xdr:sp>
      <xdr:nvSpPr>
        <xdr:cNvPr id="10" name="文本框 9"/>
        <xdr:cNvSpPr txBox="1"/>
      </xdr:nvSpPr>
      <xdr:spPr>
        <a:xfrm>
          <a:off x="48727995" y="278130"/>
          <a:ext cx="191135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HW_OUT1</a:t>
          </a:r>
          <a:endParaRPr lang="zh-CN" altLang="en-US" sz="2800" b="1"/>
        </a:p>
      </xdr:txBody>
    </xdr:sp>
    <xdr:clientData/>
  </xdr:twoCellAnchor>
  <xdr:twoCellAnchor>
    <xdr:from>
      <xdr:col>64</xdr:col>
      <xdr:colOff>8077</xdr:colOff>
      <xdr:row>1</xdr:row>
      <xdr:rowOff>56030</xdr:rowOff>
    </xdr:from>
    <xdr:to>
      <xdr:col>66</xdr:col>
      <xdr:colOff>547995</xdr:colOff>
      <xdr:row>3</xdr:row>
      <xdr:rowOff>44824</xdr:rowOff>
    </xdr:to>
    <xdr:sp>
      <xdr:nvSpPr>
        <xdr:cNvPr id="12" name="文本框 11"/>
        <xdr:cNvSpPr txBox="1"/>
      </xdr:nvSpPr>
      <xdr:spPr>
        <a:xfrm>
          <a:off x="51499770" y="278130"/>
          <a:ext cx="1911350" cy="344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800" b="1"/>
            <a:t>HW_OUT2</a:t>
          </a:r>
          <a:endParaRPr lang="zh-CN" altLang="en-US" sz="2800" b="1"/>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190500</xdr:colOff>
      <xdr:row>1</xdr:row>
      <xdr:rowOff>9525</xdr:rowOff>
    </xdr:from>
    <xdr:to>
      <xdr:col>11</xdr:col>
      <xdr:colOff>684881</xdr:colOff>
      <xdr:row>3</xdr:row>
      <xdr:rowOff>28527</xdr:rowOff>
    </xdr:to>
    <xdr:pic>
      <xdr:nvPicPr>
        <xdr:cNvPr id="2" name="图片 1"/>
        <xdr:cNvPicPr>
          <a:picLocks noChangeAspect="1"/>
        </xdr:cNvPicPr>
      </xdr:nvPicPr>
      <xdr:blipFill>
        <a:blip r:embed="rId1"/>
        <a:stretch>
          <a:fillRect/>
        </a:stretch>
      </xdr:blipFill>
      <xdr:spPr>
        <a:xfrm>
          <a:off x="876300" y="187325"/>
          <a:ext cx="7352030" cy="374015"/>
        </a:xfrm>
        <a:prstGeom prst="rect">
          <a:avLst/>
        </a:prstGeom>
      </xdr:spPr>
    </xdr:pic>
    <xdr:clientData/>
  </xdr:twoCellAnchor>
  <xdr:twoCellAnchor>
    <xdr:from>
      <xdr:col>2</xdr:col>
      <xdr:colOff>571500</xdr:colOff>
      <xdr:row>3</xdr:row>
      <xdr:rowOff>123825</xdr:rowOff>
    </xdr:from>
    <xdr:to>
      <xdr:col>8</xdr:col>
      <xdr:colOff>19050</xdr:colOff>
      <xdr:row>7</xdr:row>
      <xdr:rowOff>66675</xdr:rowOff>
    </xdr:to>
    <xdr:sp>
      <xdr:nvSpPr>
        <xdr:cNvPr id="3" name="文本框 2"/>
        <xdr:cNvSpPr txBox="1"/>
      </xdr:nvSpPr>
      <xdr:spPr>
        <a:xfrm>
          <a:off x="1943100" y="657225"/>
          <a:ext cx="3562350" cy="65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LDME001</a:t>
          </a:r>
          <a:r>
            <a:rPr lang="zh-CN" altLang="en-US" sz="1100"/>
            <a:t>→</a:t>
          </a:r>
          <a:r>
            <a:rPr lang="en-US" altLang="zh-CN" sz="1100"/>
            <a:t>6</a:t>
          </a:r>
          <a:endParaRPr lang="en-US" altLang="zh-CN" sz="1100"/>
        </a:p>
        <a:p>
          <a:r>
            <a:rPr lang="en-US" altLang="zh-CN" sz="1100"/>
            <a:t>RLME001_Low</a:t>
          </a:r>
          <a:r>
            <a:rPr lang="zh-CN" altLang="en-US" sz="1100"/>
            <a:t>→</a:t>
          </a:r>
          <a:r>
            <a:rPr lang="en-US" altLang="zh-CN" sz="1100"/>
            <a:t>1</a:t>
          </a:r>
          <a:endParaRPr lang="en-US" altLang="zh-CN" sz="1100"/>
        </a:p>
        <a:p>
          <a:r>
            <a:rPr lang="zh-CN" altLang="en-US" sz="1100"/>
            <a:t>其他→</a:t>
          </a:r>
          <a:r>
            <a:rPr lang="en-US" altLang="zh-CN" sz="1100"/>
            <a:t>2</a:t>
          </a:r>
          <a:endParaRPr lang="en-US" altLang="zh-CN" sz="1100"/>
        </a:p>
      </xdr:txBody>
    </xdr:sp>
    <xdr:clientData/>
  </xdr:twoCellAnchor>
  <xdr:twoCellAnchor editAs="oneCell">
    <xdr:from>
      <xdr:col>6</xdr:col>
      <xdr:colOff>295275</xdr:colOff>
      <xdr:row>10</xdr:row>
      <xdr:rowOff>38100</xdr:rowOff>
    </xdr:from>
    <xdr:to>
      <xdr:col>14</xdr:col>
      <xdr:colOff>408875</xdr:colOff>
      <xdr:row>32</xdr:row>
      <xdr:rowOff>142364</xdr:rowOff>
    </xdr:to>
    <xdr:pic>
      <xdr:nvPicPr>
        <xdr:cNvPr id="4" name="图片 3"/>
        <xdr:cNvPicPr>
          <a:picLocks noChangeAspect="1"/>
        </xdr:cNvPicPr>
      </xdr:nvPicPr>
      <xdr:blipFill>
        <a:blip r:embed="rId2"/>
        <a:stretch>
          <a:fillRect/>
        </a:stretch>
      </xdr:blipFill>
      <xdr:spPr>
        <a:xfrm>
          <a:off x="4410075" y="1816100"/>
          <a:ext cx="5599430" cy="4015740"/>
        </a:xfrm>
        <a:prstGeom prst="rect">
          <a:avLst/>
        </a:prstGeom>
      </xdr:spPr>
    </xdr:pic>
    <xdr:clientData/>
  </xdr:twoCellAnchor>
  <xdr:twoCellAnchor editAs="oneCell">
    <xdr:from>
      <xdr:col>2</xdr:col>
      <xdr:colOff>19050</xdr:colOff>
      <xdr:row>10</xdr:row>
      <xdr:rowOff>28575</xdr:rowOff>
    </xdr:from>
    <xdr:to>
      <xdr:col>4</xdr:col>
      <xdr:colOff>685545</xdr:colOff>
      <xdr:row>30</xdr:row>
      <xdr:rowOff>37646</xdr:rowOff>
    </xdr:to>
    <xdr:pic>
      <xdr:nvPicPr>
        <xdr:cNvPr id="5" name="图片 4"/>
        <xdr:cNvPicPr>
          <a:picLocks noChangeAspect="1"/>
        </xdr:cNvPicPr>
      </xdr:nvPicPr>
      <xdr:blipFill>
        <a:blip r:embed="rId3"/>
        <a:stretch>
          <a:fillRect/>
        </a:stretch>
      </xdr:blipFill>
      <xdr:spPr>
        <a:xfrm>
          <a:off x="1390650" y="1806575"/>
          <a:ext cx="2037715" cy="3564890"/>
        </a:xfrm>
        <a:prstGeom prst="rect">
          <a:avLst/>
        </a:prstGeom>
      </xdr:spPr>
    </xdr:pic>
    <xdr:clientData/>
  </xdr:twoCellAnchor>
  <xdr:twoCellAnchor>
    <xdr:from>
      <xdr:col>17</xdr:col>
      <xdr:colOff>581025</xdr:colOff>
      <xdr:row>15</xdr:row>
      <xdr:rowOff>76200</xdr:rowOff>
    </xdr:from>
    <xdr:to>
      <xdr:col>18</xdr:col>
      <xdr:colOff>114300</xdr:colOff>
      <xdr:row>16</xdr:row>
      <xdr:rowOff>171450</xdr:rowOff>
    </xdr:to>
    <xdr:sp>
      <xdr:nvSpPr>
        <xdr:cNvPr id="7" name="矩形 6"/>
        <xdr:cNvSpPr/>
      </xdr:nvSpPr>
      <xdr:spPr>
        <a:xfrm>
          <a:off x="12239625" y="2743200"/>
          <a:ext cx="219075" cy="2730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258535</xdr:colOff>
      <xdr:row>6</xdr:row>
      <xdr:rowOff>68036</xdr:rowOff>
    </xdr:from>
    <xdr:to>
      <xdr:col>3</xdr:col>
      <xdr:colOff>4952999</xdr:colOff>
      <xdr:row>6</xdr:row>
      <xdr:rowOff>3999650</xdr:rowOff>
    </xdr:to>
    <xdr:pic>
      <xdr:nvPicPr>
        <xdr:cNvPr id="2" name="Picture 4"/>
        <xdr:cNvPicPr>
          <a:picLocks noChangeAspect="1" noChangeArrowheads="1"/>
        </xdr:cNvPicPr>
      </xdr:nvPicPr>
      <xdr:blipFill>
        <a:blip r:embed="rId1" cstate="print"/>
        <a:srcRect/>
        <a:stretch>
          <a:fillRect/>
        </a:stretch>
      </xdr:blipFill>
      <xdr:spPr>
        <a:xfrm>
          <a:off x="3792220" y="12778105"/>
          <a:ext cx="4693920" cy="3931285"/>
        </a:xfrm>
        <a:prstGeom prst="rect">
          <a:avLst/>
        </a:prstGeom>
        <a:noFill/>
        <a:ln w="1">
          <a:noFill/>
          <a:miter lim="800000"/>
          <a:headEnd/>
          <a:tailEnd type="none" w="med" len="med"/>
        </a:ln>
        <a:effectLst/>
      </xdr:spPr>
    </xdr:pic>
    <xdr:clientData/>
  </xdr:twoCellAnchor>
  <xdr:twoCellAnchor editAs="oneCell">
    <xdr:from>
      <xdr:col>3</xdr:col>
      <xdr:colOff>272143</xdr:colOff>
      <xdr:row>8</xdr:row>
      <xdr:rowOff>40821</xdr:rowOff>
    </xdr:from>
    <xdr:to>
      <xdr:col>3</xdr:col>
      <xdr:colOff>4966607</xdr:colOff>
      <xdr:row>8</xdr:row>
      <xdr:rowOff>4002093</xdr:rowOff>
    </xdr:to>
    <xdr:pic>
      <xdr:nvPicPr>
        <xdr:cNvPr id="3" name="Picture 6"/>
        <xdr:cNvPicPr>
          <a:picLocks noChangeAspect="1" noChangeArrowheads="1"/>
        </xdr:cNvPicPr>
      </xdr:nvPicPr>
      <xdr:blipFill>
        <a:blip r:embed="rId2" cstate="print"/>
        <a:srcRect/>
        <a:stretch>
          <a:fillRect/>
        </a:stretch>
      </xdr:blipFill>
      <xdr:spPr>
        <a:xfrm>
          <a:off x="3805555" y="20843240"/>
          <a:ext cx="4694555" cy="3961130"/>
        </a:xfrm>
        <a:prstGeom prst="rect">
          <a:avLst/>
        </a:prstGeom>
        <a:noFill/>
        <a:ln w="1">
          <a:noFill/>
          <a:miter lim="800000"/>
          <a:headEnd/>
          <a:tailEnd type="none" w="med" len="med"/>
        </a:ln>
        <a:effectLst/>
      </xdr:spPr>
    </xdr:pic>
    <xdr:clientData/>
  </xdr:twoCellAnchor>
  <xdr:twoCellAnchor editAs="oneCell">
    <xdr:from>
      <xdr:col>3</xdr:col>
      <xdr:colOff>272142</xdr:colOff>
      <xdr:row>7</xdr:row>
      <xdr:rowOff>40822</xdr:rowOff>
    </xdr:from>
    <xdr:to>
      <xdr:col>3</xdr:col>
      <xdr:colOff>4938447</xdr:colOff>
      <xdr:row>7</xdr:row>
      <xdr:rowOff>3986893</xdr:rowOff>
    </xdr:to>
    <xdr:pic>
      <xdr:nvPicPr>
        <xdr:cNvPr id="4" name="Picture 7"/>
        <xdr:cNvPicPr>
          <a:picLocks noChangeAspect="1" noChangeArrowheads="1"/>
        </xdr:cNvPicPr>
      </xdr:nvPicPr>
      <xdr:blipFill>
        <a:blip r:embed="rId3" cstate="print"/>
        <a:srcRect/>
        <a:stretch>
          <a:fillRect/>
        </a:stretch>
      </xdr:blipFill>
      <xdr:spPr>
        <a:xfrm>
          <a:off x="3805555" y="16797020"/>
          <a:ext cx="4666615" cy="3945890"/>
        </a:xfrm>
        <a:prstGeom prst="rect">
          <a:avLst/>
        </a:prstGeom>
        <a:noFill/>
        <a:ln w="1">
          <a:noFill/>
          <a:miter lim="800000"/>
          <a:headEnd/>
          <a:tailEnd type="none" w="med" len="med"/>
        </a:ln>
        <a:effectLst/>
      </xdr:spPr>
    </xdr:pic>
    <xdr:clientData/>
  </xdr:twoCellAnchor>
  <xdr:twoCellAnchor editAs="oneCell">
    <xdr:from>
      <xdr:col>3</xdr:col>
      <xdr:colOff>566058</xdr:colOff>
      <xdr:row>8</xdr:row>
      <xdr:rowOff>3947032</xdr:rowOff>
    </xdr:from>
    <xdr:to>
      <xdr:col>3</xdr:col>
      <xdr:colOff>5689868</xdr:colOff>
      <xdr:row>9</xdr:row>
      <xdr:rowOff>3194147</xdr:rowOff>
    </xdr:to>
    <xdr:pic>
      <xdr:nvPicPr>
        <xdr:cNvPr id="5" name="Picture 10" descr="SQUARE TRANSLATOR TABLE FOR FULL STEP 1.png"/>
        <xdr:cNvPicPr>
          <a:picLocks noChangeAspect="1"/>
        </xdr:cNvPicPr>
      </xdr:nvPicPr>
      <xdr:blipFill>
        <a:blip r:embed="rId4" cstate="print"/>
        <a:stretch>
          <a:fillRect/>
        </a:stretch>
      </xdr:blipFill>
      <xdr:spPr>
        <a:xfrm>
          <a:off x="4099560" y="24749125"/>
          <a:ext cx="5123815" cy="329374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85725</xdr:colOff>
          <xdr:row>3</xdr:row>
          <xdr:rowOff>47625</xdr:rowOff>
        </xdr:from>
        <xdr:to>
          <xdr:col>3</xdr:col>
          <xdr:colOff>5781675</xdr:colOff>
          <xdr:row>3</xdr:row>
          <xdr:rowOff>4029075</xdr:rowOff>
        </xdr:to>
        <xdr:sp>
          <xdr:nvSpPr>
            <xdr:cNvPr id="82945" name="Object 1" hidden="1">
              <a:extLst>
                <a:ext uri="{63B3BB69-23CF-44E3-9099-C40C66FF867C}">
                  <a14:compatExt spid="_x0000_s82945"/>
                </a:ext>
              </a:extLst>
            </xdr:cNvPr>
            <xdr:cNvSpPr/>
          </xdr:nvSpPr>
          <xdr:spPr>
            <a:xfrm>
              <a:off x="3619500" y="600075"/>
              <a:ext cx="5695950" cy="3981450"/>
            </a:xfrm>
            <a:prstGeom prst="rect">
              <a:avLst/>
            </a:prstGeom>
          </xdr:spPr>
        </xdr:sp>
        <xdr:clientData/>
      </xdr:twoCellAnchor>
    </mc:Choice>
    <mc:Fallback/>
  </mc:AlternateContent>
  <xdr:twoCellAnchor editAs="oneCell">
    <xdr:from>
      <xdr:col>3</xdr:col>
      <xdr:colOff>35719</xdr:colOff>
      <xdr:row>10</xdr:row>
      <xdr:rowOff>35721</xdr:rowOff>
    </xdr:from>
    <xdr:to>
      <xdr:col>3</xdr:col>
      <xdr:colOff>5672280</xdr:colOff>
      <xdr:row>10</xdr:row>
      <xdr:rowOff>3274222</xdr:rowOff>
    </xdr:to>
    <xdr:pic>
      <xdr:nvPicPr>
        <xdr:cNvPr id="7" name="Picture 4"/>
        <xdr:cNvPicPr>
          <a:picLocks noChangeAspect="1"/>
        </xdr:cNvPicPr>
      </xdr:nvPicPr>
      <xdr:blipFill>
        <a:blip r:embed="rId5" cstate="print">
          <a:extLst>
            <a:ext uri="{28A0092B-C50C-407E-A947-70E740481C1C}">
              <a14:useLocalDpi xmlns:a14="http://schemas.microsoft.com/office/drawing/2010/main" val="0"/>
            </a:ext>
          </a:extLst>
        </a:blip>
        <a:stretch>
          <a:fillRect/>
        </a:stretch>
      </xdr:blipFill>
      <xdr:spPr>
        <a:xfrm>
          <a:off x="3569335" y="28284805"/>
          <a:ext cx="5636260" cy="3238500"/>
        </a:xfrm>
        <a:prstGeom prst="rect">
          <a:avLst/>
        </a:prstGeom>
      </xdr:spPr>
    </xdr:pic>
    <xdr:clientData/>
  </xdr:twoCellAnchor>
  <xdr:twoCellAnchor editAs="oneCell">
    <xdr:from>
      <xdr:col>3</xdr:col>
      <xdr:colOff>206375</xdr:colOff>
      <xdr:row>4</xdr:row>
      <xdr:rowOff>677864</xdr:rowOff>
    </xdr:from>
    <xdr:to>
      <xdr:col>3</xdr:col>
      <xdr:colOff>5400675</xdr:colOff>
      <xdr:row>4</xdr:row>
      <xdr:rowOff>3722304</xdr:rowOff>
    </xdr:to>
    <xdr:pic>
      <xdr:nvPicPr>
        <xdr:cNvPr id="8" name="Picture 2"/>
        <xdr:cNvPicPr>
          <a:picLocks noChangeAspect="1"/>
        </xdr:cNvPicPr>
      </xdr:nvPicPr>
      <xdr:blipFill>
        <a:blip r:embed="rId6"/>
        <a:stretch>
          <a:fillRect/>
        </a:stretch>
      </xdr:blipFill>
      <xdr:spPr>
        <a:xfrm>
          <a:off x="3740150" y="5276215"/>
          <a:ext cx="5194300" cy="3044190"/>
        </a:xfrm>
        <a:prstGeom prst="rect">
          <a:avLst/>
        </a:prstGeom>
      </xdr:spPr>
    </xdr:pic>
    <xdr:clientData/>
  </xdr:twoCellAnchor>
  <xdr:twoCellAnchor editAs="oneCell">
    <xdr:from>
      <xdr:col>3</xdr:col>
      <xdr:colOff>836611</xdr:colOff>
      <xdr:row>5</xdr:row>
      <xdr:rowOff>581025</xdr:rowOff>
    </xdr:from>
    <xdr:to>
      <xdr:col>3</xdr:col>
      <xdr:colOff>4754563</xdr:colOff>
      <xdr:row>5</xdr:row>
      <xdr:rowOff>3423185</xdr:rowOff>
    </xdr:to>
    <xdr:pic>
      <xdr:nvPicPr>
        <xdr:cNvPr id="9" name="Picture 11"/>
        <xdr:cNvPicPr>
          <a:picLocks noChangeAspect="1" noChangeArrowheads="1"/>
        </xdr:cNvPicPr>
      </xdr:nvPicPr>
      <xdr:blipFill>
        <a:blip r:embed="rId7">
          <a:extLst>
            <a:ext uri="{28A0092B-C50C-407E-A947-70E740481C1C}">
              <a14:useLocalDpi xmlns:a14="http://schemas.microsoft.com/office/drawing/2010/main" val="0"/>
            </a:ext>
          </a:extLst>
        </a:blip>
        <a:srcRect/>
        <a:stretch>
          <a:fillRect/>
        </a:stretch>
      </xdr:blipFill>
      <xdr:spPr>
        <a:xfrm>
          <a:off x="4370070" y="9225915"/>
          <a:ext cx="3917950" cy="2841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39033;&#30446;\HCM\01-&#25216;&#26415;&#36164;&#26009;\20220831&#65288;&#21513;&#21033;&#20312;&#24535;&#20255;%20CS11%20&#36710;&#22411;&#37197;&#32622;&#34920;%20%20&#22823;&#28783;&#25509;&#25554;&#20214;&#23450;&#20041;&#65289;\VOL_SPA_17_LECU_HCM_Parameters_Template_GEN2_CS11_A3_22R1_Left_High_07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CM\Config\VOL_SPA_17_LECU_HCM_Parameters_Template%2021R3%20G636(1)%20-%20&#21103;&#2641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1-&#39033;&#30446;\HCM\03-&#38656;&#27714;&#20998;&#26512;\00-&#31995;&#32479;&#38656;&#27714;&#20998;&#26512;\00-&#36164;&#26009;&#21442;&#32771;\6-&#37197;&#32622;&#21442;&#25968;\VOL_SPA_17_LECU_HCM_Parameters_Template%2021R3%20G636-cche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01-&#39033;&#30446;\01-HCM%20RD&#65288;&#21513;&#21033;%20P177&#39640;&#37197;&#65289;&#9733;\02-&#31995;&#32479;&#38656;&#27714;&#20998;&#26512;&#9733;\02-&#21442;&#25968;&#34920;V13.0\V2.8&#65288;&#27169;&#26495;V13.0&#65289;&#27491;&#24335;&#29256;%20%20&#20462;&#25913;&#27424;&#21387;&#38382;&#39064;\Define"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dministrator\AppData\Roaming\Microsoft\Excel\GLY_GEEA2%20(version%201).xlsb"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01-&#39033;&#30446;\HCM\01-&#25216;&#26415;&#36164;&#26009;\20220902&#65288;G636%20&#37197;&#32622;&#21442;&#25968;&#34920;VOL&#65289;\VOL_SPA_17_LECU_HCM_Parameters_G636_Top_XY_RIGHT_20220624.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ttings"/>
      <sheetName val="Parameters"/>
      <sheetName val="PosRamp"/>
      <sheetName val="Plausibility"/>
      <sheetName val="HcmParameters"/>
      <sheetName val="Mapping"/>
      <sheetName val="TPS"/>
      <sheetName val="Rcod"/>
      <sheetName val="FanConfig"/>
      <sheetName val="AFS"/>
      <sheetName val="WelGby"/>
      <sheetName val="CarLocator"/>
      <sheetName val="CarApproach"/>
      <sheetName val="Grill_DynamLt"/>
      <sheetName val="ParamPartNumber"/>
      <sheetName val="Defines"/>
      <sheetName val="LVL_ParametersPhysical"/>
      <sheetName val="AHB_ParametersPhysical"/>
      <sheetName val="GFHB_ParametersPhysical"/>
      <sheetName val="BL_ParametersPhysical"/>
      <sheetName val="AFL_ParametersPhysical"/>
      <sheetName val="Matrix Headlamp Layout"/>
      <sheetName val="Homsafe_Req_removed_NA"/>
      <sheetName val="Lists"/>
      <sheetName val="Param Values"/>
      <sheetName val="BeamRamp"/>
      <sheetName val="Change Log"/>
      <sheetName val="Pictures"/>
      <sheetName val="Abbreviations"/>
      <sheetName val="Options"/>
      <sheetName val="DrlRamp"/>
      <sheetName val="PhysicalVal"/>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ettings"/>
      <sheetName val="Parameters"/>
      <sheetName val="PosRamp"/>
      <sheetName val="Plausibility"/>
      <sheetName val="HcmParameters"/>
      <sheetName val="Mapping"/>
      <sheetName val="Rcod"/>
      <sheetName val="FanConfig"/>
      <sheetName val="TPS"/>
      <sheetName val="AFS"/>
      <sheetName val="WelGby"/>
      <sheetName val="AHB_ParametersPhysical"/>
      <sheetName val="GFHB_ParametersPhysical"/>
      <sheetName val="AFL_ParametersPhysical"/>
      <sheetName val="Matrix Headlamp Layout"/>
      <sheetName val="CarLocator"/>
      <sheetName val="CarApproach"/>
      <sheetName val="Lists"/>
      <sheetName val="BL_ParametersPhysical"/>
      <sheetName val="LVL_ParametersPhysical"/>
      <sheetName val="ParamPartNumber"/>
      <sheetName val="Param Values"/>
      <sheetName val="BeamRamp"/>
      <sheetName val="Pictures"/>
      <sheetName val="Abbreviations"/>
      <sheetName val="Change Log"/>
      <sheetName val="Defines"/>
      <sheetName val="Options"/>
      <sheetName val="DrlRamp"/>
      <sheetName val="Physical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ettings"/>
      <sheetName val="Parameters"/>
      <sheetName val="PosRamp"/>
      <sheetName val="Plausibility"/>
      <sheetName val="参数统计"/>
      <sheetName val="HcmParameters -cchen2"/>
      <sheetName val="HcmParameters"/>
      <sheetName val="Mapping"/>
      <sheetName val="Rcod"/>
      <sheetName val="FanConfig"/>
      <sheetName val="TPS"/>
      <sheetName val="AFS"/>
      <sheetName val="WelGby"/>
      <sheetName val="AHB_ParametersPhysical"/>
      <sheetName val="GFHB_ParametersPhysical"/>
      <sheetName val="AFL_ParametersPhysical"/>
      <sheetName val="Matrix Headlamp Layout"/>
      <sheetName val="CarLocator"/>
      <sheetName val="CarApproach"/>
      <sheetName val="Lists"/>
      <sheetName val="BL_ParametersPhysical"/>
      <sheetName val="LVL_ParametersPhysical"/>
      <sheetName val="ParamPartNumber"/>
      <sheetName val="Param Values"/>
      <sheetName val="BeamRamp"/>
      <sheetName val="Pictures"/>
      <sheetName val="Abbreviations"/>
      <sheetName val="Change Log"/>
      <sheetName val="Defines"/>
      <sheetName val="Options"/>
      <sheetName val="DrlRamp"/>
      <sheetName val="PhysicalVal"/>
      <sheetName val="HcmParameters -cchen"/>
      <sheetName val="Title P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Define"/>
      <sheetName val="Lists"/>
    </sheetNames>
    <sheetDataSet>
      <sheetData sheetId="0" refreshError="1"/>
      <sheetData sheetId="1"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Settings"/>
      <sheetName val="Parameters"/>
      <sheetName val="PosRamp"/>
      <sheetName val="ReadMe"/>
      <sheetName val="ParamPartNumber"/>
      <sheetName val="Mapping"/>
      <sheetName val="ChnConfig"/>
      <sheetName val="SLD1"/>
      <sheetName val="SLD2"/>
      <sheetName val="ECUSystem"/>
      <sheetName val="LightControl"/>
      <sheetName val="Derating"/>
      <sheetName val="NTC"/>
      <sheetName val="Rcod"/>
      <sheetName val="RGB"/>
      <sheetName val="Plausibility"/>
      <sheetName val="LEDGrouping"/>
      <sheetName val="WelGby"/>
      <sheetName val="Matrix Lamp Layout"/>
      <sheetName val="CarLocator"/>
      <sheetName val="Lists"/>
      <sheetName val="CarApproach"/>
      <sheetName val="Param Values"/>
      <sheetName val="BeamRamp"/>
      <sheetName val="Pictures"/>
      <sheetName val="Abbreviations"/>
      <sheetName val="Change Log"/>
      <sheetName val="Defines"/>
      <sheetName val="Op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
          <cell r="R2">
            <v>0</v>
          </cell>
        </row>
        <row r="2">
          <cell r="V2">
            <v>0</v>
          </cell>
        </row>
        <row r="3">
          <cell r="R3">
            <v>1</v>
          </cell>
        </row>
      </sheetData>
      <sheetData sheetId="21"/>
      <sheetData sheetId="22"/>
      <sheetData sheetId="23"/>
      <sheetData sheetId="24"/>
      <sheetData sheetId="25"/>
      <sheetData sheetId="26"/>
      <sheetData sheetId="27"/>
      <sheetData sheetId="28"/>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Settings"/>
      <sheetName val="Parameters"/>
      <sheetName val="PosRamp"/>
      <sheetName val="Plausibility"/>
      <sheetName val="HcmParameters"/>
      <sheetName val="ParamPartNumber"/>
      <sheetName val="Mapping"/>
      <sheetName val="ChnConfig"/>
      <sheetName val="TPSSetting"/>
      <sheetName val="TPS"/>
      <sheetName val="Rcod"/>
      <sheetName val="NTC"/>
      <sheetName val="Derating"/>
      <sheetName val="FanSetting"/>
      <sheetName val="AFS"/>
      <sheetName val="DblLvlAHB"/>
      <sheetName val="GFHB_ParametersPhysical"/>
      <sheetName val="AHB_ParametersPhysical"/>
      <sheetName val="LVL_ParametersPhysical"/>
      <sheetName val="Pixel setting"/>
      <sheetName val="BL_ParametersPhysical"/>
      <sheetName val="AFL_ParametersPhysical"/>
      <sheetName val="LightControl"/>
      <sheetName val="FanConfig"/>
      <sheetName val="LEDGroup"/>
      <sheetName val="WelGby"/>
      <sheetName val="CarApproach"/>
      <sheetName val="CarLocator"/>
      <sheetName val="Defines"/>
      <sheetName val="Matrix Headlamp Layout"/>
      <sheetName val="Homsafe_Req_removed_NA"/>
      <sheetName val="Grill_DynamLt"/>
      <sheetName val="Lists"/>
      <sheetName val="Param Values"/>
      <sheetName val="BeamRamp"/>
      <sheetName val="Pictures"/>
      <sheetName val="Abbreviations"/>
      <sheetName val="Change Log"/>
      <sheetName val="Options"/>
      <sheetName val="DrlRamp"/>
      <sheetName val="PhysicalVal"/>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a:solidFill>
            <a:sysClr val="windowText" lastClr="000000"/>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4" Type="http://schemas.openxmlformats.org/officeDocument/2006/relationships/image" Target="../media/image12.emf"/><Relationship Id="rId3" Type="http://schemas.openxmlformats.org/officeDocument/2006/relationships/oleObject" Target="../embeddings/oleObject1.bin"/><Relationship Id="rId2" Type="http://schemas.openxmlformats.org/officeDocument/2006/relationships/vmlDrawing" Target="../drawings/vmlDrawing5.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24"/>
  <sheetViews>
    <sheetView tabSelected="1" topLeftCell="A13" workbookViewId="0">
      <selection activeCell="B20" sqref="B20"/>
    </sheetView>
  </sheetViews>
  <sheetFormatPr defaultColWidth="20.375" defaultRowHeight="14" outlineLevelCol="5"/>
  <cols>
    <col min="1" max="1" width="20.375" style="386"/>
    <col min="2" max="2" width="55.625" style="386" customWidth="1"/>
    <col min="3" max="3" width="8.125" style="386" customWidth="1"/>
    <col min="4" max="4" width="10" style="386" customWidth="1"/>
    <col min="5" max="5" width="28.25" style="386" customWidth="1"/>
    <col min="6" max="6" width="11.875" style="386" customWidth="1"/>
    <col min="7" max="8" width="20.375" style="386"/>
    <col min="9" max="9" width="20.375" style="386" customWidth="1"/>
    <col min="10" max="16384" width="20.375" style="386"/>
  </cols>
  <sheetData>
    <row r="1" ht="17.25" spans="1:6">
      <c r="A1" s="387" t="s">
        <v>0</v>
      </c>
      <c r="B1" s="388"/>
      <c r="C1" s="388"/>
      <c r="D1" s="388"/>
      <c r="E1" s="388"/>
      <c r="F1" s="389"/>
    </row>
    <row r="2" ht="14.75" spans="1:6">
      <c r="A2" s="390" t="s">
        <v>1</v>
      </c>
      <c r="B2" s="391" t="s">
        <v>2</v>
      </c>
      <c r="C2" s="391" t="s">
        <v>3</v>
      </c>
      <c r="D2" s="391" t="s">
        <v>4</v>
      </c>
      <c r="E2" s="392" t="s">
        <v>5</v>
      </c>
      <c r="F2" s="393" t="s">
        <v>6</v>
      </c>
    </row>
    <row r="3" spans="1:6">
      <c r="A3" s="394">
        <v>1</v>
      </c>
      <c r="B3" s="395" t="s">
        <v>7</v>
      </c>
      <c r="C3" s="396" t="s">
        <v>8</v>
      </c>
      <c r="D3" s="397" t="s">
        <v>9</v>
      </c>
      <c r="E3" s="398"/>
      <c r="F3" s="399" t="s">
        <v>10</v>
      </c>
    </row>
    <row r="4" ht="156" spans="1:6">
      <c r="A4" s="400" t="s">
        <v>11</v>
      </c>
      <c r="B4" s="401" t="s">
        <v>12</v>
      </c>
      <c r="C4" s="402" t="s">
        <v>8</v>
      </c>
      <c r="D4" s="403" t="s">
        <v>13</v>
      </c>
      <c r="E4" s="404"/>
      <c r="F4" s="405" t="s">
        <v>14</v>
      </c>
    </row>
    <row r="5" spans="1:6">
      <c r="A5" s="406" t="s">
        <v>15</v>
      </c>
      <c r="B5" s="407" t="s">
        <v>16</v>
      </c>
      <c r="C5" s="402" t="s">
        <v>8</v>
      </c>
      <c r="D5" s="402" t="s">
        <v>17</v>
      </c>
      <c r="E5" s="408"/>
      <c r="F5" s="405" t="s">
        <v>14</v>
      </c>
    </row>
    <row r="6" ht="26" spans="1:6">
      <c r="A6" s="406" t="s">
        <v>18</v>
      </c>
      <c r="B6" s="407" t="s">
        <v>19</v>
      </c>
      <c r="C6" s="402" t="s">
        <v>8</v>
      </c>
      <c r="D6" s="402" t="s">
        <v>20</v>
      </c>
      <c r="E6" s="408"/>
      <c r="F6" s="405" t="s">
        <v>14</v>
      </c>
    </row>
    <row r="7" ht="117" spans="1:6">
      <c r="A7" s="406" t="s">
        <v>21</v>
      </c>
      <c r="B7" s="407" t="s">
        <v>22</v>
      </c>
      <c r="C7" s="402" t="s">
        <v>8</v>
      </c>
      <c r="D7" s="402" t="s">
        <v>23</v>
      </c>
      <c r="E7" s="408"/>
      <c r="F7" s="405" t="s">
        <v>10</v>
      </c>
    </row>
    <row r="8" spans="1:6">
      <c r="A8" s="406"/>
      <c r="B8" s="407" t="s">
        <v>24</v>
      </c>
      <c r="C8" s="402" t="s">
        <v>25</v>
      </c>
      <c r="D8" s="402" t="s">
        <v>26</v>
      </c>
      <c r="E8" s="408"/>
      <c r="F8" s="405" t="s">
        <v>10</v>
      </c>
    </row>
    <row r="9" ht="80.25" customHeight="1" spans="1:6">
      <c r="A9" s="406" t="s">
        <v>27</v>
      </c>
      <c r="B9" s="407" t="s">
        <v>28</v>
      </c>
      <c r="C9" s="402" t="s">
        <v>25</v>
      </c>
      <c r="D9" s="402" t="s">
        <v>29</v>
      </c>
      <c r="E9" s="408"/>
      <c r="F9" s="405" t="s">
        <v>10</v>
      </c>
    </row>
    <row r="10" ht="80.25" customHeight="1" spans="1:6">
      <c r="A10" s="406" t="s">
        <v>30</v>
      </c>
      <c r="B10" s="407" t="s">
        <v>31</v>
      </c>
      <c r="C10" s="402" t="s">
        <v>8</v>
      </c>
      <c r="D10" s="402" t="s">
        <v>32</v>
      </c>
      <c r="E10" s="408"/>
      <c r="F10" s="405" t="s">
        <v>33</v>
      </c>
    </row>
    <row r="11" ht="52.75" spans="1:6">
      <c r="A11" s="409" t="s">
        <v>34</v>
      </c>
      <c r="B11" s="410" t="s">
        <v>35</v>
      </c>
      <c r="C11" s="411" t="s">
        <v>8</v>
      </c>
      <c r="D11" s="412" t="s">
        <v>36</v>
      </c>
      <c r="E11" s="413"/>
      <c r="F11" s="414" t="s">
        <v>33</v>
      </c>
    </row>
    <row r="12" spans="1:6">
      <c r="A12" s="415"/>
      <c r="B12" s="416"/>
      <c r="C12" s="416"/>
      <c r="D12" s="417"/>
      <c r="E12" s="417"/>
      <c r="F12" s="418"/>
    </row>
    <row r="13" ht="17.25" spans="1:6">
      <c r="A13" s="387" t="s">
        <v>37</v>
      </c>
      <c r="B13" s="388"/>
      <c r="C13" s="388"/>
      <c r="D13" s="388"/>
      <c r="E13" s="388"/>
      <c r="F13" s="389"/>
    </row>
    <row r="14" ht="15.25" spans="1:6">
      <c r="A14" s="419" t="s">
        <v>1</v>
      </c>
      <c r="B14" s="420" t="s">
        <v>2</v>
      </c>
      <c r="C14" s="420" t="s">
        <v>3</v>
      </c>
      <c r="D14" s="420" t="s">
        <v>4</v>
      </c>
      <c r="E14" s="421" t="s">
        <v>5</v>
      </c>
      <c r="F14" s="422" t="s">
        <v>6</v>
      </c>
    </row>
    <row r="15" ht="15.25" spans="1:6">
      <c r="A15" s="423">
        <v>0.1</v>
      </c>
      <c r="B15" s="424" t="s">
        <v>38</v>
      </c>
      <c r="C15" s="425" t="s">
        <v>8</v>
      </c>
      <c r="D15" s="426" t="s">
        <v>39</v>
      </c>
      <c r="E15" s="427"/>
      <c r="F15" s="428" t="s">
        <v>40</v>
      </c>
    </row>
    <row r="16" ht="15.25" spans="1:6">
      <c r="A16" s="429">
        <v>0.2</v>
      </c>
      <c r="B16" s="430" t="s">
        <v>41</v>
      </c>
      <c r="C16" s="425" t="s">
        <v>8</v>
      </c>
      <c r="D16" s="431" t="s">
        <v>42</v>
      </c>
      <c r="E16" s="432"/>
      <c r="F16" s="433" t="s">
        <v>43</v>
      </c>
    </row>
    <row r="17" ht="87.75" spans="1:6">
      <c r="A17" s="429">
        <v>0.3</v>
      </c>
      <c r="B17" s="430" t="s">
        <v>44</v>
      </c>
      <c r="C17" s="425" t="s">
        <v>8</v>
      </c>
      <c r="D17" s="431" t="s">
        <v>45</v>
      </c>
      <c r="E17" s="432"/>
      <c r="F17" s="433" t="s">
        <v>43</v>
      </c>
    </row>
    <row r="18" ht="102.25" spans="1:6">
      <c r="A18" s="429">
        <v>0.4</v>
      </c>
      <c r="B18" s="430" t="s">
        <v>46</v>
      </c>
      <c r="C18" s="434" t="s">
        <v>8</v>
      </c>
      <c r="D18" s="435" t="s">
        <v>47</v>
      </c>
      <c r="E18" s="436"/>
      <c r="F18" s="437" t="s">
        <v>43</v>
      </c>
    </row>
    <row r="19" ht="15.25" spans="1:6">
      <c r="A19" s="429">
        <v>0.5</v>
      </c>
      <c r="B19" s="430" t="s">
        <v>48</v>
      </c>
      <c r="C19" s="434" t="s">
        <v>8</v>
      </c>
      <c r="D19" s="431" t="s">
        <v>49</v>
      </c>
      <c r="E19" s="432"/>
      <c r="F19" s="433" t="s">
        <v>43</v>
      </c>
    </row>
    <row r="20" ht="79.5" customHeight="1" spans="1:6">
      <c r="A20" s="438">
        <v>0.6</v>
      </c>
      <c r="B20" s="439" t="s">
        <v>50</v>
      </c>
      <c r="C20" s="434" t="s">
        <v>8</v>
      </c>
      <c r="D20" s="440" t="s">
        <v>51</v>
      </c>
      <c r="E20" s="441"/>
      <c r="F20" s="442" t="s">
        <v>43</v>
      </c>
    </row>
    <row r="21" ht="38.25" customHeight="1" spans="1:6">
      <c r="A21" s="443"/>
      <c r="B21" s="444"/>
      <c r="C21" s="444"/>
      <c r="D21" s="445"/>
      <c r="E21" s="446"/>
      <c r="F21" s="447"/>
    </row>
    <row r="22" ht="15" spans="1:6">
      <c r="A22" s="448"/>
      <c r="B22" s="449"/>
      <c r="C22" s="449"/>
      <c r="D22" s="449"/>
      <c r="E22" s="449"/>
      <c r="F22" s="449"/>
    </row>
    <row r="23" ht="14.75"/>
    <row r="24" ht="84.75" spans="1:6">
      <c r="A24" s="450" t="s">
        <v>52</v>
      </c>
      <c r="B24" s="451" t="s">
        <v>53</v>
      </c>
      <c r="C24" s="452"/>
      <c r="D24" s="453" t="s">
        <v>54</v>
      </c>
      <c r="E24" s="454"/>
      <c r="F24" s="455" t="s">
        <v>55</v>
      </c>
    </row>
  </sheetData>
  <protectedRanges>
    <protectedRange sqref="A15:F21" name="区域1"/>
  </protectedRanges>
  <mergeCells count="2">
    <mergeCell ref="A1:F1"/>
    <mergeCell ref="A13:F13"/>
  </mergeCells>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M29"/>
  <sheetViews>
    <sheetView workbookViewId="0">
      <selection activeCell="M6" sqref="M6"/>
    </sheetView>
  </sheetViews>
  <sheetFormatPr defaultColWidth="9" defaultRowHeight="14"/>
  <cols>
    <col min="7" max="7" width="16.75" customWidth="1"/>
    <col min="9" max="9" width="15.375" customWidth="1"/>
    <col min="13" max="13" width="10.25" customWidth="1"/>
  </cols>
  <sheetData>
    <row r="1" spans="1:13">
      <c r="A1" s="62"/>
      <c r="B1" s="62" t="s">
        <v>56</v>
      </c>
      <c r="C1" s="62" t="s">
        <v>57</v>
      </c>
      <c r="G1" s="376" t="s">
        <v>58</v>
      </c>
      <c r="I1" s="62" t="s">
        <v>59</v>
      </c>
      <c r="L1" s="380" t="s">
        <v>60</v>
      </c>
      <c r="M1" s="140">
        <v>0</v>
      </c>
    </row>
    <row r="2" spans="1:13">
      <c r="A2" s="377" t="s">
        <v>61</v>
      </c>
      <c r="B2" s="378" t="s">
        <v>62</v>
      </c>
      <c r="C2" s="157">
        <v>0.1</v>
      </c>
      <c r="D2" s="157">
        <v>1</v>
      </c>
      <c r="F2" s="140">
        <v>1</v>
      </c>
      <c r="G2" s="379" t="s">
        <v>63</v>
      </c>
      <c r="H2" s="380" t="s">
        <v>64</v>
      </c>
      <c r="I2" s="380" t="s">
        <v>65</v>
      </c>
      <c r="J2" s="140">
        <v>1</v>
      </c>
      <c r="L2" s="380" t="s">
        <v>66</v>
      </c>
      <c r="M2" s="140">
        <v>1</v>
      </c>
    </row>
    <row r="3" spans="1:13">
      <c r="A3" s="381"/>
      <c r="B3" s="380" t="s">
        <v>67</v>
      </c>
      <c r="C3" s="140">
        <v>1</v>
      </c>
      <c r="F3" s="140">
        <v>2</v>
      </c>
      <c r="G3" s="379"/>
      <c r="H3" s="380" t="s">
        <v>68</v>
      </c>
      <c r="I3" s="380" t="s">
        <v>69</v>
      </c>
      <c r="J3" s="140">
        <v>2</v>
      </c>
      <c r="L3" s="380" t="s">
        <v>70</v>
      </c>
      <c r="M3" s="140">
        <v>2</v>
      </c>
    </row>
    <row r="4" spans="1:10">
      <c r="A4" s="382"/>
      <c r="B4" s="380" t="s">
        <v>71</v>
      </c>
      <c r="C4" s="140">
        <v>1</v>
      </c>
      <c r="F4" s="140">
        <v>3</v>
      </c>
      <c r="G4" s="379"/>
      <c r="H4" s="140"/>
      <c r="I4" s="380" t="s">
        <v>72</v>
      </c>
      <c r="J4" s="140">
        <v>3</v>
      </c>
    </row>
    <row r="5" spans="1:10">
      <c r="A5" s="380" t="s">
        <v>73</v>
      </c>
      <c r="B5" s="378" t="s">
        <v>74</v>
      </c>
      <c r="C5" s="157">
        <v>0.1</v>
      </c>
      <c r="F5" s="140">
        <v>4</v>
      </c>
      <c r="G5" s="379"/>
      <c r="H5" s="140"/>
      <c r="I5" s="380" t="s">
        <v>75</v>
      </c>
      <c r="J5" s="140">
        <v>4</v>
      </c>
    </row>
    <row r="6" spans="1:10">
      <c r="A6" s="380" t="s">
        <v>76</v>
      </c>
      <c r="B6" s="378" t="s">
        <v>77</v>
      </c>
      <c r="C6" s="157">
        <v>1</v>
      </c>
      <c r="F6" s="140">
        <v>5</v>
      </c>
      <c r="G6" s="379"/>
      <c r="H6" s="140"/>
      <c r="I6" s="380" t="s">
        <v>78</v>
      </c>
      <c r="J6" s="140">
        <v>5</v>
      </c>
    </row>
    <row r="7" spans="1:10">
      <c r="A7" s="370" t="s">
        <v>79</v>
      </c>
      <c r="B7" s="370" t="s">
        <v>80</v>
      </c>
      <c r="C7" s="139">
        <v>1</v>
      </c>
      <c r="F7" s="140">
        <v>6</v>
      </c>
      <c r="G7" s="379"/>
      <c r="H7" s="140"/>
      <c r="I7" s="140"/>
      <c r="J7" s="140">
        <v>6</v>
      </c>
    </row>
    <row r="8" spans="1:10">
      <c r="A8" s="370" t="s">
        <v>81</v>
      </c>
      <c r="B8" s="370" t="s">
        <v>82</v>
      </c>
      <c r="C8" s="380">
        <v>1</v>
      </c>
      <c r="F8" s="140">
        <v>7</v>
      </c>
      <c r="G8" s="383"/>
      <c r="H8" s="140"/>
      <c r="I8" s="140"/>
      <c r="J8" s="140">
        <v>7</v>
      </c>
    </row>
    <row r="9" spans="1:10">
      <c r="A9" s="370" t="s">
        <v>83</v>
      </c>
      <c r="B9" s="378" t="s">
        <v>84</v>
      </c>
      <c r="C9" s="157">
        <v>0.1</v>
      </c>
      <c r="F9" s="140">
        <v>8</v>
      </c>
      <c r="G9" s="383"/>
      <c r="H9" s="140"/>
      <c r="I9" s="140"/>
      <c r="J9" s="140">
        <v>8</v>
      </c>
    </row>
    <row r="10" spans="1:10">
      <c r="A10" s="370" t="s">
        <v>85</v>
      </c>
      <c r="B10" s="370" t="s">
        <v>86</v>
      </c>
      <c r="C10" s="140">
        <v>1</v>
      </c>
      <c r="F10" s="140">
        <v>9</v>
      </c>
      <c r="G10" s="379"/>
      <c r="H10" s="140"/>
      <c r="I10" s="140"/>
      <c r="J10" s="140">
        <v>9</v>
      </c>
    </row>
    <row r="11" spans="1:10">
      <c r="A11" s="370" t="s">
        <v>87</v>
      </c>
      <c r="B11" s="378" t="s">
        <v>88</v>
      </c>
      <c r="C11" s="157">
        <v>0.1</v>
      </c>
      <c r="D11" s="157">
        <v>0.1</v>
      </c>
      <c r="F11" s="140">
        <v>10</v>
      </c>
      <c r="G11" s="379"/>
      <c r="H11" s="140"/>
      <c r="I11" s="140"/>
      <c r="J11" s="140">
        <v>10</v>
      </c>
    </row>
    <row r="12" spans="1:10">
      <c r="A12" s="370" t="s">
        <v>89</v>
      </c>
      <c r="B12" s="370" t="s">
        <v>90</v>
      </c>
      <c r="C12" s="140">
        <v>1</v>
      </c>
      <c r="F12" s="140">
        <v>11</v>
      </c>
      <c r="G12" s="379"/>
      <c r="H12" s="140"/>
      <c r="I12" s="140"/>
      <c r="J12" s="140">
        <v>11</v>
      </c>
    </row>
    <row r="13" spans="1:10">
      <c r="A13" s="140"/>
      <c r="B13" s="456" t="s">
        <v>91</v>
      </c>
      <c r="C13" s="140">
        <v>1</v>
      </c>
      <c r="F13" s="140">
        <v>12</v>
      </c>
      <c r="G13" s="379"/>
      <c r="H13" s="140"/>
      <c r="I13" s="140"/>
      <c r="J13" s="140">
        <v>12</v>
      </c>
    </row>
    <row r="14" spans="1:10">
      <c r="A14" s="384" t="s">
        <v>92</v>
      </c>
      <c r="B14" s="370" t="s">
        <v>93</v>
      </c>
      <c r="C14" s="140">
        <v>0.01</v>
      </c>
      <c r="F14" s="140">
        <v>13</v>
      </c>
      <c r="G14" s="379"/>
      <c r="H14" s="140"/>
      <c r="I14" s="140"/>
      <c r="J14" s="140">
        <v>13</v>
      </c>
    </row>
    <row r="15" spans="1:10">
      <c r="A15" s="385"/>
      <c r="B15" s="380" t="s">
        <v>94</v>
      </c>
      <c r="C15" s="140">
        <v>1</v>
      </c>
      <c r="F15" s="140">
        <v>14</v>
      </c>
      <c r="G15" s="379"/>
      <c r="H15" s="140"/>
      <c r="I15" s="140"/>
      <c r="J15" s="140">
        <v>14</v>
      </c>
    </row>
    <row r="16" spans="1:10">
      <c r="A16" s="140"/>
      <c r="B16" s="140"/>
      <c r="C16" s="140"/>
      <c r="F16" s="140">
        <v>15</v>
      </c>
      <c r="G16" s="379"/>
      <c r="H16" s="140"/>
      <c r="I16" s="140"/>
      <c r="J16" s="140">
        <v>15</v>
      </c>
    </row>
    <row r="17" spans="1:10">
      <c r="A17" s="140"/>
      <c r="B17" s="140"/>
      <c r="C17" s="140"/>
      <c r="F17" s="140">
        <v>16</v>
      </c>
      <c r="G17" s="140"/>
      <c r="H17" s="140"/>
      <c r="I17" s="140"/>
      <c r="J17" s="140">
        <v>16</v>
      </c>
    </row>
    <row r="18" spans="6:10">
      <c r="F18" s="140">
        <v>17</v>
      </c>
      <c r="G18" s="140"/>
      <c r="H18" s="140"/>
      <c r="I18" s="140"/>
      <c r="J18" s="140">
        <v>17</v>
      </c>
    </row>
    <row r="19" spans="6:10">
      <c r="F19" s="140">
        <v>18</v>
      </c>
      <c r="G19" s="140"/>
      <c r="H19" s="140"/>
      <c r="I19" s="140"/>
      <c r="J19" s="140">
        <v>18</v>
      </c>
    </row>
    <row r="20" spans="6:10">
      <c r="F20" s="140">
        <v>19</v>
      </c>
      <c r="G20" s="140"/>
      <c r="H20" s="140"/>
      <c r="I20" s="140"/>
      <c r="J20" s="140">
        <v>19</v>
      </c>
    </row>
    <row r="21" spans="6:10">
      <c r="F21" s="140">
        <v>20</v>
      </c>
      <c r="G21" s="140"/>
      <c r="H21" s="140"/>
      <c r="I21" s="140"/>
      <c r="J21" s="140">
        <v>20</v>
      </c>
    </row>
    <row r="22" spans="6:10">
      <c r="F22" s="140">
        <v>21</v>
      </c>
      <c r="G22" s="140"/>
      <c r="H22" s="140"/>
      <c r="I22" s="140"/>
      <c r="J22" s="140">
        <v>21</v>
      </c>
    </row>
    <row r="23" spans="6:10">
      <c r="F23" s="140">
        <v>22</v>
      </c>
      <c r="G23" s="140"/>
      <c r="H23" s="140"/>
      <c r="I23" s="140"/>
      <c r="J23" s="140">
        <v>22</v>
      </c>
    </row>
    <row r="24" spans="6:10">
      <c r="F24" s="140">
        <v>23</v>
      </c>
      <c r="G24" s="140"/>
      <c r="H24" s="140"/>
      <c r="I24" s="140"/>
      <c r="J24" s="140">
        <v>23</v>
      </c>
    </row>
    <row r="25" spans="6:10">
      <c r="F25" s="140">
        <v>24</v>
      </c>
      <c r="G25" s="140"/>
      <c r="H25" s="140"/>
      <c r="I25" s="140"/>
      <c r="J25" s="140">
        <v>24</v>
      </c>
    </row>
    <row r="26" spans="6:10">
      <c r="F26" s="140">
        <v>25</v>
      </c>
      <c r="G26" s="140"/>
      <c r="H26" s="140"/>
      <c r="I26" s="140"/>
      <c r="J26" s="140">
        <v>25</v>
      </c>
    </row>
    <row r="27" spans="6:10">
      <c r="F27" s="140">
        <v>26</v>
      </c>
      <c r="G27" s="140"/>
      <c r="H27" s="140"/>
      <c r="I27" s="140"/>
      <c r="J27" s="140">
        <v>26</v>
      </c>
    </row>
    <row r="28" spans="6:10">
      <c r="F28" s="140">
        <v>27</v>
      </c>
      <c r="G28" s="140"/>
      <c r="H28" s="140"/>
      <c r="I28" s="140"/>
      <c r="J28" s="140">
        <v>27</v>
      </c>
    </row>
    <row r="29" spans="6:10">
      <c r="F29" s="140">
        <v>28</v>
      </c>
      <c r="G29" s="140"/>
      <c r="H29" s="140"/>
      <c r="I29" s="140"/>
      <c r="J29" s="140">
        <v>28</v>
      </c>
    </row>
  </sheetData>
  <mergeCells count="2">
    <mergeCell ref="A2:A4"/>
    <mergeCell ref="A14:A15"/>
  </mergeCells>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0"/>
  <sheetViews>
    <sheetView workbookViewId="0">
      <selection activeCell="C17" sqref="C17"/>
    </sheetView>
  </sheetViews>
  <sheetFormatPr defaultColWidth="9" defaultRowHeight="14" outlineLevelCol="7"/>
  <cols>
    <col min="1" max="1" width="15.375" customWidth="1"/>
    <col min="4" max="4" width="39.25" customWidth="1"/>
    <col min="5" max="6" width="22.25" customWidth="1"/>
    <col min="7" max="7" width="17.25" customWidth="1"/>
  </cols>
  <sheetData>
    <row r="1" spans="1:8">
      <c r="A1" s="370" t="s">
        <v>59</v>
      </c>
      <c r="B1" s="370" t="s">
        <v>95</v>
      </c>
      <c r="C1" s="370"/>
      <c r="D1" s="370" t="s">
        <v>96</v>
      </c>
      <c r="E1" s="370" t="s">
        <v>97</v>
      </c>
      <c r="F1" s="370" t="s">
        <v>98</v>
      </c>
      <c r="G1" s="370" t="s">
        <v>99</v>
      </c>
      <c r="H1" s="140"/>
    </row>
    <row r="2" spans="1:8">
      <c r="A2" s="371" t="s">
        <v>100</v>
      </c>
      <c r="B2" s="372">
        <v>3</v>
      </c>
      <c r="C2" s="371" t="s">
        <v>101</v>
      </c>
      <c r="D2" s="371"/>
      <c r="E2" s="373"/>
      <c r="F2" s="373"/>
      <c r="G2" s="371"/>
      <c r="H2" s="140"/>
    </row>
    <row r="3" spans="1:8">
      <c r="A3" s="371"/>
      <c r="B3" s="372"/>
      <c r="C3" s="371"/>
      <c r="D3" s="374"/>
      <c r="E3" s="373"/>
      <c r="F3" s="373"/>
      <c r="G3" s="371"/>
      <c r="H3" s="140"/>
    </row>
    <row r="4" spans="1:8">
      <c r="A4" s="371"/>
      <c r="B4" s="372"/>
      <c r="C4" s="371"/>
      <c r="D4" s="374"/>
      <c r="E4" s="375"/>
      <c r="F4" s="375"/>
      <c r="G4" s="371"/>
      <c r="H4" s="140"/>
    </row>
    <row r="5" spans="1:8">
      <c r="A5" s="371"/>
      <c r="B5" s="372"/>
      <c r="C5" s="371"/>
      <c r="D5" s="374"/>
      <c r="E5" s="375"/>
      <c r="F5" s="375"/>
      <c r="G5" s="371"/>
      <c r="H5" s="140"/>
    </row>
    <row r="6" spans="1:8">
      <c r="A6" s="139"/>
      <c r="B6" s="139"/>
      <c r="C6" s="139"/>
      <c r="D6" s="139"/>
      <c r="E6" s="139"/>
      <c r="F6" s="139"/>
      <c r="G6" s="139"/>
      <c r="H6" s="140"/>
    </row>
    <row r="7" spans="1:8">
      <c r="A7" s="139"/>
      <c r="B7" s="139"/>
      <c r="C7" s="139"/>
      <c r="D7" s="139"/>
      <c r="E7" s="139"/>
      <c r="F7" s="139"/>
      <c r="G7" s="139"/>
      <c r="H7" s="140"/>
    </row>
    <row r="8" spans="1:8">
      <c r="A8" s="139"/>
      <c r="B8" s="139"/>
      <c r="C8" s="139"/>
      <c r="D8" s="139"/>
      <c r="E8" s="139"/>
      <c r="F8" s="139"/>
      <c r="G8" s="139"/>
      <c r="H8" s="140"/>
    </row>
    <row r="9" spans="1:8">
      <c r="A9" s="139"/>
      <c r="B9" s="139"/>
      <c r="C9" s="139"/>
      <c r="D9" s="139"/>
      <c r="E9" s="139"/>
      <c r="F9" s="139"/>
      <c r="G9" s="139"/>
      <c r="H9" s="140"/>
    </row>
    <row r="10" spans="1:8">
      <c r="A10" s="139"/>
      <c r="B10" s="139"/>
      <c r="C10" s="139"/>
      <c r="D10" s="139"/>
      <c r="E10" s="139"/>
      <c r="F10" s="139"/>
      <c r="G10" s="139"/>
      <c r="H10" s="140"/>
    </row>
  </sheetData>
  <sheetProtection algorithmName="SHA-512" hashValue="H3XBgu8rF4mkYtSVwsktC8CTmvPoukbQN0gDVAIAlXGYLjdhqTLsLaG+A68FgrK/FYUpvq5lJW8pvTVQrr7gKg==" saltValue="Gl/IW+hhnplYiCW/5TOQcg==" spinCount="100000" sheet="1" objects="1" scenarios="1"/>
  <protectedRanges>
    <protectedRange sqref="A2:F10" name="区域1"/>
  </protectedRange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FFFF00"/>
  </sheetPr>
  <dimension ref="B1:K17"/>
  <sheetViews>
    <sheetView showGridLines="0" zoomScale="115" zoomScaleNormal="115" workbookViewId="0">
      <selection activeCell="G17" sqref="G17"/>
    </sheetView>
  </sheetViews>
  <sheetFormatPr defaultColWidth="9" defaultRowHeight="14"/>
  <cols>
    <col min="1" max="1" width="2.625" customWidth="1"/>
    <col min="3" max="3" width="16.375" customWidth="1"/>
    <col min="5" max="5" width="9.75" customWidth="1"/>
    <col min="9" max="9" width="7.375" customWidth="1"/>
    <col min="10" max="10" width="6.125" customWidth="1"/>
    <col min="20" max="20" width="9" customWidth="1"/>
  </cols>
  <sheetData>
    <row r="1" ht="14.75"/>
    <row r="2" spans="2:8">
      <c r="B2" s="345"/>
      <c r="C2" s="345"/>
      <c r="D2" s="345"/>
      <c r="E2" s="345"/>
      <c r="F2" s="345"/>
      <c r="G2" s="345"/>
      <c r="H2" s="345"/>
    </row>
    <row r="3" spans="2:8">
      <c r="B3" s="346"/>
      <c r="C3" s="346"/>
      <c r="D3" s="346"/>
      <c r="E3" s="346"/>
      <c r="F3" s="346"/>
      <c r="G3" s="346"/>
      <c r="H3" s="346"/>
    </row>
    <row r="4" spans="2:8">
      <c r="B4" s="346"/>
      <c r="C4" s="346"/>
      <c r="D4" s="346"/>
      <c r="E4" s="346"/>
      <c r="F4" s="346"/>
      <c r="G4" s="346"/>
      <c r="H4" s="346"/>
    </row>
    <row r="5" ht="27" customHeight="1" spans="2:9">
      <c r="B5" s="347" t="s">
        <v>102</v>
      </c>
      <c r="C5" s="348"/>
      <c r="D5" s="349" t="s">
        <v>103</v>
      </c>
      <c r="E5" s="350"/>
      <c r="F5" s="350"/>
      <c r="G5" s="350"/>
      <c r="H5" s="351"/>
      <c r="I5" s="365" t="str">
        <f>IF((D5="GEELY"),"1",IF(D5="SMART","2","3"))</f>
        <v>1</v>
      </c>
    </row>
    <row r="6" ht="27" customHeight="1" spans="2:11">
      <c r="B6" s="347" t="s">
        <v>59</v>
      </c>
      <c r="C6" s="348"/>
      <c r="D6" s="349" t="s">
        <v>100</v>
      </c>
      <c r="E6" s="350"/>
      <c r="F6" s="350"/>
      <c r="G6" s="350"/>
      <c r="H6" s="351"/>
      <c r="I6" s="366">
        <f>VLOOKUP($D$6,项目名称!$A:$B,2,0)</f>
        <v>3</v>
      </c>
      <c r="J6" s="62" t="s">
        <v>104</v>
      </c>
      <c r="K6" s="62"/>
    </row>
    <row r="7" ht="27" customHeight="1" spans="2:9">
      <c r="B7" s="347" t="s">
        <v>58</v>
      </c>
      <c r="C7" s="348"/>
      <c r="D7" s="352" t="s">
        <v>63</v>
      </c>
      <c r="E7" s="353"/>
      <c r="F7" s="353"/>
      <c r="G7" s="353"/>
      <c r="H7" s="354"/>
      <c r="I7" s="365" t="str">
        <f>IF((D7="HCM AIR"),"1")</f>
        <v>1</v>
      </c>
    </row>
    <row r="8" ht="27" customHeight="1" spans="2:8">
      <c r="B8" s="347" t="s">
        <v>105</v>
      </c>
      <c r="C8" s="348"/>
      <c r="D8" s="352" t="s">
        <v>106</v>
      </c>
      <c r="E8" s="353"/>
      <c r="F8" s="353"/>
      <c r="G8" s="353"/>
      <c r="H8" s="354"/>
    </row>
    <row r="9" ht="27" customHeight="1" spans="2:8">
      <c r="B9" s="347" t="s">
        <v>107</v>
      </c>
      <c r="C9" s="348"/>
      <c r="D9" s="352" t="s">
        <v>108</v>
      </c>
      <c r="E9" s="353"/>
      <c r="F9" s="353"/>
      <c r="G9" s="353"/>
      <c r="H9" s="354"/>
    </row>
    <row r="10" ht="27" customHeight="1" spans="2:10">
      <c r="B10" s="347" t="s">
        <v>109</v>
      </c>
      <c r="C10" s="348"/>
      <c r="D10" s="355">
        <v>1.8</v>
      </c>
      <c r="E10" s="356"/>
      <c r="F10" s="356"/>
      <c r="G10" s="356"/>
      <c r="H10" s="357"/>
      <c r="I10" s="365">
        <f>TRUNC(D10)</f>
        <v>1</v>
      </c>
      <c r="J10" s="367" t="str">
        <f>RIGHT(INT(D10*10))</f>
        <v>8</v>
      </c>
    </row>
    <row r="11" ht="27" customHeight="1" spans="2:10">
      <c r="B11" s="347" t="s">
        <v>110</v>
      </c>
      <c r="C11" s="348"/>
      <c r="D11" s="355">
        <v>0.6</v>
      </c>
      <c r="E11" s="358"/>
      <c r="F11" s="358"/>
      <c r="G11" s="358"/>
      <c r="H11" s="359"/>
      <c r="I11" s="365">
        <f>TRUNC(D11)</f>
        <v>0</v>
      </c>
      <c r="J11" s="367" t="str">
        <f>RIGHT(INT(D11*10))</f>
        <v>6</v>
      </c>
    </row>
    <row r="12" ht="27" customHeight="1" spans="2:10">
      <c r="B12" s="347" t="s">
        <v>111</v>
      </c>
      <c r="C12" s="348"/>
      <c r="D12" s="355" t="s">
        <v>112</v>
      </c>
      <c r="E12" s="358"/>
      <c r="F12" s="358"/>
      <c r="G12" s="358"/>
      <c r="H12" s="359"/>
      <c r="I12" s="368"/>
      <c r="J12" s="368"/>
    </row>
    <row r="13" ht="27" customHeight="1" spans="2:10">
      <c r="B13" s="347" t="s">
        <v>113</v>
      </c>
      <c r="C13" s="348"/>
      <c r="D13" s="355" t="s">
        <v>60</v>
      </c>
      <c r="E13" s="358"/>
      <c r="F13" s="358"/>
      <c r="G13" s="358"/>
      <c r="H13" s="359"/>
      <c r="I13" s="365">
        <f>VLOOKUP($D$13,data2!$L:$M,2,0)</f>
        <v>0</v>
      </c>
      <c r="J13" s="368"/>
    </row>
    <row r="14" ht="27" customHeight="1" spans="2:8">
      <c r="B14" s="360" t="s">
        <v>4</v>
      </c>
      <c r="C14" s="361"/>
      <c r="D14" s="362">
        <v>46014</v>
      </c>
      <c r="E14" s="363"/>
      <c r="F14" s="363"/>
      <c r="G14" s="363"/>
      <c r="H14" s="364"/>
    </row>
    <row r="17" ht="14.25" customHeight="1" spans="11:11">
      <c r="K17" s="369"/>
    </row>
  </sheetData>
  <sheetProtection password="CA04" sheet="1" objects="1" scenarios="1"/>
  <protectedRanges>
    <protectedRange sqref="D6:H9 D11:H14" name="区域1"/>
  </protectedRanges>
  <mergeCells count="22">
    <mergeCell ref="B5:C5"/>
    <mergeCell ref="D5:H5"/>
    <mergeCell ref="B6:C6"/>
    <mergeCell ref="D6:H6"/>
    <mergeCell ref="B7:C7"/>
    <mergeCell ref="D7:H7"/>
    <mergeCell ref="B8:C8"/>
    <mergeCell ref="D8:H8"/>
    <mergeCell ref="B9:C9"/>
    <mergeCell ref="D9:H9"/>
    <mergeCell ref="B10:C10"/>
    <mergeCell ref="D10:H10"/>
    <mergeCell ref="B11:C11"/>
    <mergeCell ref="D11:H11"/>
    <mergeCell ref="B12:C12"/>
    <mergeCell ref="D12:H12"/>
    <mergeCell ref="B13:C13"/>
    <mergeCell ref="D13:H13"/>
    <mergeCell ref="B14:C14"/>
    <mergeCell ref="D14:H14"/>
    <mergeCell ref="B2:C4"/>
    <mergeCell ref="D2:H4"/>
  </mergeCells>
  <dataValidations count="4">
    <dataValidation type="custom" allowBlank="1" showInputMessage="1" showErrorMessage="1" sqref="D10:H10">
      <formula1>'Version Information'!A3</formula1>
    </dataValidation>
    <dataValidation type="list" allowBlank="1" showInputMessage="1" showErrorMessage="1" sqref="D6:H6">
      <formula1>项目名称!$A$2:$A$16</formula1>
    </dataValidation>
    <dataValidation type="list" allowBlank="1" showInputMessage="1" showErrorMessage="1" sqref="D7:H7">
      <formula1>data2!$G$2</formula1>
    </dataValidation>
    <dataValidation type="list" allowBlank="1" showInputMessage="1" showErrorMessage="1" sqref="D13:H13">
      <formula1>data2!$L$1:$L$3</formula1>
    </dataValidation>
  </dataValidations>
  <pageMargins left="0.7" right="0.7" top="0.75" bottom="0.75" header="0.3" footer="0.3"/>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B1:P39"/>
  <sheetViews>
    <sheetView showGridLines="0" zoomScale="80" zoomScaleNormal="80" workbookViewId="0">
      <selection activeCell="H5" sqref="H5"/>
    </sheetView>
  </sheetViews>
  <sheetFormatPr defaultColWidth="9" defaultRowHeight="14"/>
  <cols>
    <col min="1" max="1" width="2.875" customWidth="1"/>
    <col min="2" max="2" width="38.75" customWidth="1"/>
    <col min="3" max="15" width="14.625" customWidth="1"/>
    <col min="16" max="16" width="20.375" customWidth="1"/>
    <col min="17" max="17" width="5.625" customWidth="1"/>
    <col min="18" max="18" width="5.25" style="331" customWidth="1"/>
    <col min="20" max="20" width="11" customWidth="1"/>
    <col min="21" max="21" width="8" customWidth="1"/>
    <col min="22" max="22" width="16.875" customWidth="1"/>
    <col min="23" max="23" width="21.875" customWidth="1"/>
    <col min="24" max="24" width="8.125" customWidth="1"/>
  </cols>
  <sheetData>
    <row r="1" spans="4:14">
      <c r="D1" t="s">
        <v>114</v>
      </c>
      <c r="E1" t="s">
        <v>115</v>
      </c>
      <c r="F1" t="s">
        <v>116</v>
      </c>
      <c r="G1" t="s">
        <v>117</v>
      </c>
      <c r="H1" t="s">
        <v>118</v>
      </c>
      <c r="I1" t="s">
        <v>119</v>
      </c>
      <c r="J1" t="s">
        <v>120</v>
      </c>
      <c r="K1" t="s">
        <v>121</v>
      </c>
      <c r="L1" s="340" t="s">
        <v>122</v>
      </c>
      <c r="M1" s="340" t="s">
        <v>123</v>
      </c>
      <c r="N1" s="340"/>
    </row>
    <row r="2" ht="15.5" spans="2:16">
      <c r="B2" s="332" t="s">
        <v>124</v>
      </c>
      <c r="C2" s="332" t="s">
        <v>125</v>
      </c>
      <c r="D2" s="332" t="s">
        <v>126</v>
      </c>
      <c r="E2" s="332" t="s">
        <v>127</v>
      </c>
      <c r="F2" s="332" t="s">
        <v>128</v>
      </c>
      <c r="G2" s="332" t="s">
        <v>129</v>
      </c>
      <c r="H2" s="332" t="s">
        <v>130</v>
      </c>
      <c r="I2" s="332" t="s">
        <v>131</v>
      </c>
      <c r="J2" s="332" t="s">
        <v>132</v>
      </c>
      <c r="K2" s="332" t="s">
        <v>133</v>
      </c>
      <c r="L2" s="332" t="s">
        <v>134</v>
      </c>
      <c r="M2" s="332" t="s">
        <v>135</v>
      </c>
      <c r="N2" s="332" t="s">
        <v>136</v>
      </c>
      <c r="O2" s="332" t="s">
        <v>137</v>
      </c>
      <c r="P2" s="341" t="s">
        <v>96</v>
      </c>
    </row>
    <row r="3" ht="20" spans="2:16">
      <c r="B3" s="332" t="s">
        <v>138</v>
      </c>
      <c r="C3" s="333">
        <f>IF(D3="X",1,0)+(IF(E3="X",1,0)*2)+(IF(F3="X",1,0)*4)+(IF(G3="X",1,0)*8)+(IF(H3="X",1,0)*16)+(IF(I3="X",1,0)*32)+(IF(J3="X",1,0)*64)+(IF(K3="X",1,0)*128)+IF(L3="X",1,0)*256+IF(M3="X",1,0)*512+IF(N3="X",1,0)*1024</f>
        <v>1</v>
      </c>
      <c r="D3" s="334" t="s">
        <v>139</v>
      </c>
      <c r="E3" s="335"/>
      <c r="F3" s="335"/>
      <c r="G3" s="335"/>
      <c r="H3" s="335"/>
      <c r="I3" s="335"/>
      <c r="J3" s="335"/>
      <c r="K3" s="335"/>
      <c r="L3" s="335"/>
      <c r="M3" s="335"/>
      <c r="N3" s="335"/>
      <c r="O3" s="335"/>
      <c r="P3" s="341" t="s">
        <v>140</v>
      </c>
    </row>
    <row r="4" ht="20" spans="2:16">
      <c r="B4" s="332" t="s">
        <v>141</v>
      </c>
      <c r="C4" s="333">
        <f t="shared" ref="C4:C17" si="0">IF(D4="X",1,0)+(IF(E4="X",1,0)*2)+(IF(F4="X",1,0)*4)+(IF(G4="X",1,0)*8)+(IF(H4="X",1,0)*16)+(IF(I4="X",1,0)*32)+(IF(J4="X",1,0)*64)+(IF(K4="X",1,0)*128)+IF(L4="X",1,0)*256+IF(M4="X",1,0)*512+IF(N4="X",1,0)*1024</f>
        <v>2</v>
      </c>
      <c r="D4" s="335"/>
      <c r="E4" s="334" t="s">
        <v>139</v>
      </c>
      <c r="F4" s="334"/>
      <c r="G4" s="334"/>
      <c r="H4" s="334"/>
      <c r="I4" s="334"/>
      <c r="J4" s="335"/>
      <c r="K4" s="335"/>
      <c r="L4" s="335"/>
      <c r="M4" s="335"/>
      <c r="N4" s="335"/>
      <c r="O4" s="334"/>
      <c r="P4" s="341"/>
    </row>
    <row r="5" ht="20" spans="2:16">
      <c r="B5" s="332" t="s">
        <v>142</v>
      </c>
      <c r="C5" s="333">
        <f t="shared" si="0"/>
        <v>52</v>
      </c>
      <c r="D5" s="335"/>
      <c r="E5" s="336"/>
      <c r="F5" s="334" t="s">
        <v>139</v>
      </c>
      <c r="G5" s="334"/>
      <c r="H5" s="334" t="s">
        <v>139</v>
      </c>
      <c r="I5" s="334" t="s">
        <v>139</v>
      </c>
      <c r="J5" s="334"/>
      <c r="K5" s="334"/>
      <c r="L5" s="334"/>
      <c r="M5" s="334"/>
      <c r="N5" s="335"/>
      <c r="O5" s="334" t="s">
        <v>139</v>
      </c>
      <c r="P5" s="341"/>
    </row>
    <row r="6" ht="20" spans="2:16">
      <c r="B6" s="332" t="s">
        <v>143</v>
      </c>
      <c r="C6" s="333">
        <f t="shared" si="0"/>
        <v>52</v>
      </c>
      <c r="D6" s="335"/>
      <c r="E6" s="336"/>
      <c r="F6" s="334" t="s">
        <v>139</v>
      </c>
      <c r="G6" s="334"/>
      <c r="H6" s="334" t="s">
        <v>139</v>
      </c>
      <c r="I6" s="334" t="s">
        <v>139</v>
      </c>
      <c r="J6" s="334"/>
      <c r="K6" s="334"/>
      <c r="L6" s="334"/>
      <c r="M6" s="334"/>
      <c r="N6" s="335"/>
      <c r="O6" s="334" t="s">
        <v>139</v>
      </c>
      <c r="P6" s="341"/>
    </row>
    <row r="7" ht="20" spans="2:16">
      <c r="B7" s="332" t="s">
        <v>144</v>
      </c>
      <c r="C7" s="333">
        <f t="shared" si="0"/>
        <v>8</v>
      </c>
      <c r="D7" s="335"/>
      <c r="E7" s="335"/>
      <c r="F7" s="334"/>
      <c r="G7" s="334" t="s">
        <v>139</v>
      </c>
      <c r="H7" s="334"/>
      <c r="I7" s="334"/>
      <c r="J7" s="334"/>
      <c r="K7" s="334"/>
      <c r="L7" s="334"/>
      <c r="M7" s="334"/>
      <c r="N7" s="335"/>
      <c r="O7" s="334"/>
      <c r="P7" s="341"/>
    </row>
    <row r="8" ht="20" spans="2:16">
      <c r="B8" s="332" t="s">
        <v>145</v>
      </c>
      <c r="C8" s="333">
        <f t="shared" si="0"/>
        <v>0</v>
      </c>
      <c r="D8" s="335"/>
      <c r="E8" s="334"/>
      <c r="F8" s="334"/>
      <c r="G8" s="334"/>
      <c r="H8" s="334"/>
      <c r="I8" s="334"/>
      <c r="J8" s="334"/>
      <c r="K8" s="334"/>
      <c r="L8" s="334"/>
      <c r="M8" s="334"/>
      <c r="N8" s="335"/>
      <c r="O8" s="334"/>
      <c r="P8" s="341"/>
    </row>
    <row r="9" ht="20.25" customHeight="1" spans="2:16">
      <c r="B9" s="332" t="s">
        <v>146</v>
      </c>
      <c r="C9" s="333">
        <f t="shared" si="0"/>
        <v>0</v>
      </c>
      <c r="D9" s="335"/>
      <c r="E9" s="335"/>
      <c r="F9" s="334"/>
      <c r="G9" s="334"/>
      <c r="H9" s="334"/>
      <c r="I9" s="334"/>
      <c r="J9" s="334"/>
      <c r="K9" s="334"/>
      <c r="L9" s="334"/>
      <c r="M9" s="334"/>
      <c r="N9" s="335"/>
      <c r="O9" s="334"/>
      <c r="P9" s="341"/>
    </row>
    <row r="10" ht="20.25" customHeight="1" spans="2:16">
      <c r="B10" s="332" t="s">
        <v>147</v>
      </c>
      <c r="C10" s="333">
        <f t="shared" si="0"/>
        <v>0</v>
      </c>
      <c r="D10" s="335"/>
      <c r="E10" s="335"/>
      <c r="F10" s="334"/>
      <c r="G10" s="334"/>
      <c r="H10" s="334"/>
      <c r="I10" s="334"/>
      <c r="J10" s="334"/>
      <c r="K10" s="334"/>
      <c r="L10" s="334"/>
      <c r="M10" s="334"/>
      <c r="N10" s="335"/>
      <c r="O10" s="334"/>
      <c r="P10" s="341"/>
    </row>
    <row r="11" ht="20.25" customHeight="1" spans="2:16">
      <c r="B11" s="332" t="s">
        <v>148</v>
      </c>
      <c r="C11" s="333">
        <f t="shared" si="0"/>
        <v>0</v>
      </c>
      <c r="D11" s="335"/>
      <c r="E11" s="335"/>
      <c r="F11" s="334"/>
      <c r="G11" s="334"/>
      <c r="H11" s="334"/>
      <c r="I11" s="334"/>
      <c r="J11" s="334"/>
      <c r="K11" s="334"/>
      <c r="L11" s="334"/>
      <c r="M11" s="334"/>
      <c r="N11" s="335"/>
      <c r="O11" s="334"/>
      <c r="P11" s="341"/>
    </row>
    <row r="12" ht="20.25" customHeight="1" spans="2:16">
      <c r="B12" s="332" t="s">
        <v>149</v>
      </c>
      <c r="C12" s="333">
        <f t="shared" si="0"/>
        <v>0</v>
      </c>
      <c r="D12" s="335"/>
      <c r="E12" s="335"/>
      <c r="F12" s="334"/>
      <c r="G12" s="334"/>
      <c r="H12" s="334"/>
      <c r="I12" s="334"/>
      <c r="J12" s="334"/>
      <c r="K12" s="334"/>
      <c r="L12" s="334"/>
      <c r="M12" s="334"/>
      <c r="N12" s="335"/>
      <c r="O12" s="334"/>
      <c r="P12" s="341"/>
    </row>
    <row r="13" ht="20.25" customHeight="1" spans="2:16">
      <c r="B13" s="332" t="s">
        <v>150</v>
      </c>
      <c r="C13" s="333">
        <f t="shared" si="0"/>
        <v>0</v>
      </c>
      <c r="D13" s="335"/>
      <c r="E13" s="335"/>
      <c r="F13" s="334"/>
      <c r="G13" s="334"/>
      <c r="H13" s="334"/>
      <c r="I13" s="334"/>
      <c r="J13" s="334"/>
      <c r="K13" s="334"/>
      <c r="L13" s="334"/>
      <c r="M13" s="334"/>
      <c r="N13" s="335"/>
      <c r="O13" s="334"/>
      <c r="P13" s="341"/>
    </row>
    <row r="14" ht="20.25" customHeight="1" spans="2:16">
      <c r="B14" s="337" t="s">
        <v>151</v>
      </c>
      <c r="C14" s="333">
        <f t="shared" si="0"/>
        <v>0</v>
      </c>
      <c r="D14" s="335"/>
      <c r="E14" s="335"/>
      <c r="F14" s="334"/>
      <c r="G14" s="334"/>
      <c r="H14" s="334"/>
      <c r="I14" s="334"/>
      <c r="J14" s="334"/>
      <c r="K14" s="334"/>
      <c r="L14" s="334"/>
      <c r="M14" s="334"/>
      <c r="N14" s="335"/>
      <c r="O14" s="334"/>
      <c r="P14" s="341"/>
    </row>
    <row r="15" ht="20.25" customHeight="1" spans="2:16">
      <c r="B15" s="332" t="s">
        <v>152</v>
      </c>
      <c r="C15" s="333">
        <f t="shared" si="0"/>
        <v>0</v>
      </c>
      <c r="D15" s="335"/>
      <c r="E15" s="335"/>
      <c r="F15" s="335"/>
      <c r="G15" s="335"/>
      <c r="H15" s="335"/>
      <c r="I15" s="335"/>
      <c r="J15" s="334"/>
      <c r="K15" s="334"/>
      <c r="L15" s="335"/>
      <c r="M15" s="335"/>
      <c r="N15" s="335"/>
      <c r="O15" s="335"/>
      <c r="P15" s="341"/>
    </row>
    <row r="16" ht="20.25" customHeight="1" spans="2:16">
      <c r="B16" s="332" t="s">
        <v>153</v>
      </c>
      <c r="C16" s="333">
        <f t="shared" si="0"/>
        <v>0</v>
      </c>
      <c r="D16" s="335"/>
      <c r="E16" s="335"/>
      <c r="F16" s="335"/>
      <c r="G16" s="335"/>
      <c r="H16" s="335"/>
      <c r="I16" s="335"/>
      <c r="J16" s="334"/>
      <c r="K16" s="335"/>
      <c r="L16" s="335"/>
      <c r="M16" s="335"/>
      <c r="N16" s="335"/>
      <c r="O16" s="335"/>
      <c r="P16" s="341"/>
    </row>
    <row r="17" ht="20.25" customHeight="1" spans="2:16">
      <c r="B17" s="332" t="s">
        <v>154</v>
      </c>
      <c r="C17" s="333">
        <f t="shared" si="0"/>
        <v>128</v>
      </c>
      <c r="D17" s="335"/>
      <c r="E17" s="335"/>
      <c r="F17" s="335"/>
      <c r="G17" s="335"/>
      <c r="H17" s="335"/>
      <c r="I17" s="335"/>
      <c r="J17" s="335"/>
      <c r="K17" s="334" t="s">
        <v>139</v>
      </c>
      <c r="L17" s="335"/>
      <c r="M17" s="335"/>
      <c r="N17" s="335"/>
      <c r="O17" s="335"/>
      <c r="P17" s="341" t="s">
        <v>155</v>
      </c>
    </row>
    <row r="18" ht="20.25" customHeight="1" spans="2:16">
      <c r="B18" s="47"/>
      <c r="C18" s="47"/>
      <c r="D18" s="338">
        <f>IF(D3="X",1,0)</f>
        <v>1</v>
      </c>
      <c r="E18" s="338">
        <f>(IF(E4="X",1,0)*2)+(IF(E5="X",1,0)*4)+(IF(E6="X",1,0)*8)+(IF(E7="X",1,0)*16)+(IF(E8="X",1,0)*32)+(IF(E9="X",1,0)*64)+(IF(E10="X",1,0)*128)+(IF(E11="X",1,0)*256)+(IF(E12="X",1,0)*512)+(IF(E13="X",1,0)*1024)+(IF(E14="X",1,0)*2048)+(IF(E15="X",1,0)*4096)+(IF(E16="X",1,0)*8192)+(IF(E17="X",1,0)*16384)</f>
        <v>2</v>
      </c>
      <c r="F18" s="338">
        <f t="shared" ref="F18:O18" si="1">(IF(F4="X",1,0)*2)+(IF(F5="X",1,0)*4)+(IF(F6="X",1,0)*8)+(IF(F7="X",1,0)*16)+(IF(F8="X",1,0)*32)+(IF(F9="X",1,0)*64)+(IF(F10="X",1,0)*128)+(IF(F11="X",1,0)*256)+(IF(F12="X",1,0)*512)+(IF(F13="X",1,0)*1024)+(IF(F14="X",1,0)*2048)+(IF(F15="X",1,0)*4096)+(IF(F16="X",1,0)*8192)+(IF(F17="X",1,0)*16384)</f>
        <v>12</v>
      </c>
      <c r="G18" s="338">
        <f t="shared" si="1"/>
        <v>16</v>
      </c>
      <c r="H18" s="338">
        <f t="shared" si="1"/>
        <v>12</v>
      </c>
      <c r="I18" s="338">
        <f t="shared" si="1"/>
        <v>12</v>
      </c>
      <c r="J18" s="338">
        <f t="shared" si="1"/>
        <v>0</v>
      </c>
      <c r="K18" s="338">
        <f t="shared" si="1"/>
        <v>16384</v>
      </c>
      <c r="L18" s="338">
        <f t="shared" si="1"/>
        <v>0</v>
      </c>
      <c r="M18" s="338">
        <f t="shared" si="1"/>
        <v>0</v>
      </c>
      <c r="N18" s="47"/>
      <c r="O18" s="338">
        <f t="shared" si="1"/>
        <v>12</v>
      </c>
      <c r="P18" s="341" t="s">
        <v>156</v>
      </c>
    </row>
    <row r="19" ht="20.25" customHeight="1" spans="2:15">
      <c r="B19" s="47"/>
      <c r="C19" s="47"/>
      <c r="D19" s="47"/>
      <c r="E19" s="47"/>
      <c r="F19" s="47"/>
      <c r="G19" s="47"/>
      <c r="H19" s="47"/>
      <c r="I19" s="47"/>
      <c r="J19" s="47"/>
      <c r="K19" s="47"/>
      <c r="L19" s="47"/>
      <c r="M19" s="47"/>
      <c r="N19" s="47"/>
      <c r="O19" s="47"/>
    </row>
    <row r="20" ht="20.25" customHeight="1" spans="2:15">
      <c r="B20" s="47"/>
      <c r="C20" s="47"/>
      <c r="D20" s="47"/>
      <c r="E20" s="47"/>
      <c r="F20" s="47"/>
      <c r="G20" s="47"/>
      <c r="H20" s="47"/>
      <c r="I20" s="47"/>
      <c r="J20" s="47"/>
      <c r="K20" s="47"/>
      <c r="L20" s="47"/>
      <c r="M20" s="47"/>
      <c r="N20" s="47"/>
      <c r="O20" s="47"/>
    </row>
    <row r="21" spans="2:15">
      <c r="B21" s="332" t="s">
        <v>157</v>
      </c>
      <c r="C21" s="332"/>
      <c r="D21" s="332" t="s">
        <v>126</v>
      </c>
      <c r="E21" s="332" t="s">
        <v>127</v>
      </c>
      <c r="F21" s="332" t="s">
        <v>128</v>
      </c>
      <c r="G21" s="332" t="s">
        <v>129</v>
      </c>
      <c r="H21" s="332" t="s">
        <v>130</v>
      </c>
      <c r="I21" s="342" t="s">
        <v>131</v>
      </c>
      <c r="J21" s="47"/>
      <c r="K21" s="47"/>
      <c r="L21" s="47"/>
      <c r="M21" s="47"/>
      <c r="N21" s="47"/>
      <c r="O21" s="47"/>
    </row>
    <row r="22" ht="20" spans="2:16">
      <c r="B22" s="332" t="s">
        <v>158</v>
      </c>
      <c r="C22" s="333">
        <f t="shared" ref="C22:C23" si="2">IF(D22="X",1,0)+(IF(E22="X",1,0)*2)+(IF(F22="X",1,0)*4)+(IF(G22="X",1,0)*8)+(IF(H22="X",1,0)*16)+(IF(I22="X",1,0)*32)+(IF(J22="X",1,0)*64)+(IF(K22="X",1,0)*128)+IF(L22="X",1,0)*256+IF(M22="X",1,0)*512+IF(N22="X",1,0)*1024</f>
        <v>0</v>
      </c>
      <c r="D22" s="335"/>
      <c r="E22" s="335"/>
      <c r="F22" s="339"/>
      <c r="G22" s="339"/>
      <c r="H22" s="339"/>
      <c r="I22" s="339"/>
      <c r="J22" s="47"/>
      <c r="K22" s="47"/>
      <c r="L22" s="47"/>
      <c r="M22" s="47" t="s">
        <v>159</v>
      </c>
      <c r="N22" s="47"/>
      <c r="O22" s="47"/>
      <c r="P22" s="341" t="s">
        <v>160</v>
      </c>
    </row>
    <row r="23" ht="20" spans="2:16">
      <c r="B23" s="332" t="s">
        <v>161</v>
      </c>
      <c r="C23" s="333">
        <f t="shared" si="2"/>
        <v>4</v>
      </c>
      <c r="D23" s="335"/>
      <c r="E23" s="335"/>
      <c r="F23" s="334" t="s">
        <v>139</v>
      </c>
      <c r="G23" s="339"/>
      <c r="H23" s="339"/>
      <c r="I23" s="334"/>
      <c r="J23" s="47"/>
      <c r="K23" s="47"/>
      <c r="L23" s="47"/>
      <c r="M23" s="47" t="s">
        <v>159</v>
      </c>
      <c r="N23" s="47"/>
      <c r="O23" s="47"/>
      <c r="P23" s="341" t="s">
        <v>162</v>
      </c>
    </row>
    <row r="24" spans="2:15">
      <c r="B24" s="47"/>
      <c r="C24" s="47"/>
      <c r="D24" s="47"/>
      <c r="E24" s="47"/>
      <c r="F24" s="47"/>
      <c r="G24" s="47"/>
      <c r="H24" s="47"/>
      <c r="I24" s="47"/>
      <c r="J24" s="47"/>
      <c r="K24" s="47"/>
      <c r="L24" s="47"/>
      <c r="M24" s="47"/>
      <c r="N24" s="47"/>
      <c r="O24" s="47"/>
    </row>
    <row r="25" spans="2:15">
      <c r="B25" s="47"/>
      <c r="C25" s="47"/>
      <c r="D25" s="47"/>
      <c r="E25" s="47"/>
      <c r="F25" s="47"/>
      <c r="G25" s="47"/>
      <c r="H25" s="47"/>
      <c r="I25" s="47"/>
      <c r="J25" s="47"/>
      <c r="K25" s="47"/>
      <c r="L25" s="47"/>
      <c r="M25" s="47"/>
      <c r="N25" s="47"/>
      <c r="O25" s="47"/>
    </row>
    <row r="26" spans="2:15">
      <c r="B26" s="332" t="s">
        <v>163</v>
      </c>
      <c r="C26" s="332"/>
      <c r="D26" s="332" t="s">
        <v>126</v>
      </c>
      <c r="E26" s="332" t="s">
        <v>127</v>
      </c>
      <c r="F26" s="332" t="s">
        <v>128</v>
      </c>
      <c r="G26" s="332" t="s">
        <v>129</v>
      </c>
      <c r="H26" s="332" t="s">
        <v>130</v>
      </c>
      <c r="I26" s="342" t="s">
        <v>131</v>
      </c>
      <c r="J26" s="47"/>
      <c r="K26" s="47"/>
      <c r="L26" s="47"/>
      <c r="M26" s="47"/>
      <c r="N26" s="47"/>
      <c r="O26" s="47"/>
    </row>
    <row r="27" ht="20" spans="2:16">
      <c r="B27" s="332" t="s">
        <v>164</v>
      </c>
      <c r="C27" s="333">
        <f t="shared" ref="C27" si="3">IF(D27="X",1,0)+(IF(E27="X",1,0)*2)+(IF(F27="X",1,0)*4)+(IF(G27="X",1,0)*8)+(IF(H27="X",1,0)*16)+(IF(I27="X",1,0)*32)+(IF(J27="X",1,0)*64)+(IF(K27="X",1,0)*128)+IF(L27="X",1,0)*256+IF(M27="X",1,0)*512+IF(N27="X",1,0)*1024</f>
        <v>4</v>
      </c>
      <c r="D27" s="335"/>
      <c r="E27" s="335"/>
      <c r="F27" s="334" t="s">
        <v>139</v>
      </c>
      <c r="G27" s="334"/>
      <c r="H27" s="334"/>
      <c r="I27" s="334"/>
      <c r="J27" s="47"/>
      <c r="K27" s="47"/>
      <c r="L27" s="47"/>
      <c r="M27" s="47" t="s">
        <v>165</v>
      </c>
      <c r="N27" s="47"/>
      <c r="O27" s="47"/>
      <c r="P27" s="341" t="s">
        <v>166</v>
      </c>
    </row>
    <row r="28" ht="20.25" customHeight="1"/>
    <row r="29" ht="20.25" customHeight="1"/>
    <row r="30" spans="2:11">
      <c r="B30" s="337" t="s">
        <v>167</v>
      </c>
      <c r="C30" s="332"/>
      <c r="D30" s="332" t="s">
        <v>126</v>
      </c>
      <c r="E30" s="332" t="s">
        <v>127</v>
      </c>
      <c r="F30" s="332" t="s">
        <v>128</v>
      </c>
      <c r="G30" s="332" t="s">
        <v>129</v>
      </c>
      <c r="H30" s="332" t="s">
        <v>130</v>
      </c>
      <c r="I30" s="332" t="s">
        <v>131</v>
      </c>
      <c r="J30" s="332" t="s">
        <v>132</v>
      </c>
      <c r="K30" s="332" t="s">
        <v>133</v>
      </c>
    </row>
    <row r="31" ht="20" spans="2:16">
      <c r="B31" s="337" t="s">
        <v>168</v>
      </c>
      <c r="C31" s="333">
        <f t="shared" ref="C31" si="4">IF(D31="X",1,0)+(IF(E31="X",1,0)*2)+(IF(F31="X",1,0)*4)+(IF(G31="X",1,0)*8)+(IF(H31="X",1,0)*16)+(IF(I31="X",1,0)*32)+(IF(J31="X",1,0)*64)+(IF(K31="X",1,0)*128)+IF(L31="X",1,0)*256+IF(M31="X",1,0)*512+IF(N31="X",1,0)*1024</f>
        <v>0</v>
      </c>
      <c r="D31" s="335"/>
      <c r="E31" s="335"/>
      <c r="F31" s="334"/>
      <c r="G31" s="334"/>
      <c r="H31" s="334"/>
      <c r="I31" s="334"/>
      <c r="J31" s="334"/>
      <c r="K31" s="334"/>
      <c r="M31" s="343" t="s">
        <v>169</v>
      </c>
      <c r="P31" s="344" t="s">
        <v>170</v>
      </c>
    </row>
    <row r="34" spans="2:13">
      <c r="B34" s="337" t="s">
        <v>157</v>
      </c>
      <c r="C34" s="332"/>
      <c r="D34" s="332" t="s">
        <v>126</v>
      </c>
      <c r="E34" s="332" t="s">
        <v>127</v>
      </c>
      <c r="F34" s="332" t="s">
        <v>128</v>
      </c>
      <c r="G34" s="332" t="s">
        <v>129</v>
      </c>
      <c r="H34" s="332" t="s">
        <v>130</v>
      </c>
      <c r="I34" s="342" t="s">
        <v>131</v>
      </c>
      <c r="M34" s="47"/>
    </row>
    <row r="35" ht="20" spans="2:16">
      <c r="B35" s="337" t="s">
        <v>171</v>
      </c>
      <c r="C35" s="333">
        <f t="shared" ref="C35" si="5">IF(D35="X",1,0)+(IF(E35="X",1,0)*2)+(IF(F35="X",1,0)*4)+(IF(G35="X",1,0)*8)+(IF(H35="X",1,0)*16)+(IF(I35="X",1,0)*32)+(IF(J35="X",1,0)*64)+(IF(K35="X",1,0)*128)+IF(L35="X",1,0)*256+IF(M35="X",1,0)*512+IF(N35="X",1,0)*1024</f>
        <v>0</v>
      </c>
      <c r="D35" s="335"/>
      <c r="E35" s="335"/>
      <c r="F35" s="334"/>
      <c r="G35" s="339"/>
      <c r="H35" s="339"/>
      <c r="I35" s="334"/>
      <c r="M35" s="47" t="s">
        <v>159</v>
      </c>
      <c r="P35" s="344" t="s">
        <v>172</v>
      </c>
    </row>
    <row r="38" spans="2:13">
      <c r="B38" s="337" t="s">
        <v>163</v>
      </c>
      <c r="C38" s="332"/>
      <c r="D38" s="332" t="s">
        <v>126</v>
      </c>
      <c r="E38" s="332" t="s">
        <v>127</v>
      </c>
      <c r="F38" s="332" t="s">
        <v>128</v>
      </c>
      <c r="G38" s="332" t="s">
        <v>129</v>
      </c>
      <c r="H38" s="332" t="s">
        <v>130</v>
      </c>
      <c r="I38" s="342" t="s">
        <v>131</v>
      </c>
      <c r="M38" s="47"/>
    </row>
    <row r="39" ht="20" spans="2:16">
      <c r="B39" s="337" t="s">
        <v>173</v>
      </c>
      <c r="C39" s="333">
        <f t="shared" ref="C39" si="6">IF(D39="X",1,0)+(IF(E39="X",1,0)*2)+(IF(F39="X",1,0)*4)+(IF(G39="X",1,0)*8)+(IF(H39="X",1,0)*16)+(IF(I39="X",1,0)*32)+(IF(K39="X",1,0)*64)</f>
        <v>0</v>
      </c>
      <c r="D39" s="335"/>
      <c r="E39" s="335"/>
      <c r="F39" s="334"/>
      <c r="G39" s="339"/>
      <c r="H39" s="339"/>
      <c r="I39" s="334"/>
      <c r="M39" s="47" t="s">
        <v>165</v>
      </c>
      <c r="P39" s="344" t="s">
        <v>174</v>
      </c>
    </row>
  </sheetData>
  <sheetProtection password="CA04" sheet="1" objects="1" scenarios="1"/>
  <protectedRanges>
    <protectedRange sqref="F27:I27 F22:I23 E4:I4 E8 K17 J16 D3 O4:O14 F35:I35 F39:I39 F31:K31 J15:K15 F5:M14 E5 E6" name="区域1"/>
  </protectedRanges>
  <conditionalFormatting sqref="E3">
    <cfRule type="containsText" dxfId="0" priority="13" operator="between" text="X">
      <formula>NOT(ISERROR(SEARCH("X",E3)))</formula>
    </cfRule>
  </conditionalFormatting>
  <conditionalFormatting sqref="O3">
    <cfRule type="containsText" dxfId="0" priority="111" operator="between" text="X">
      <formula>NOT(ISERROR(SEARCH("X",O3)))</formula>
    </cfRule>
  </conditionalFormatting>
  <conditionalFormatting sqref="O4">
    <cfRule type="containsText" dxfId="1" priority="117" operator="between" text="X">
      <formula>NOT(ISERROR(SEARCH("X",O4)))</formula>
    </cfRule>
  </conditionalFormatting>
  <conditionalFormatting sqref="E8">
    <cfRule type="containsText" dxfId="1" priority="92" operator="between" text="X">
      <formula>NOT(ISERROR(SEARCH("X",E8)))</formula>
    </cfRule>
  </conditionalFormatting>
  <conditionalFormatting sqref="E9">
    <cfRule type="containsText" dxfId="0" priority="90" operator="between" text="X">
      <formula>NOT(ISERROR(SEARCH("X",E9)))</formula>
    </cfRule>
  </conditionalFormatting>
  <conditionalFormatting sqref="B14">
    <cfRule type="cellIs" dxfId="2" priority="77" operator="equal">
      <formula>"x"</formula>
    </cfRule>
  </conditionalFormatting>
  <conditionalFormatting sqref="D14">
    <cfRule type="containsText" dxfId="0" priority="78" operator="between" text="X">
      <formula>NOT(ISERROR(SEARCH("X",D14)))</formula>
    </cfRule>
  </conditionalFormatting>
  <conditionalFormatting sqref="E14">
    <cfRule type="containsText" dxfId="0" priority="74" operator="between" text="X">
      <formula>NOT(ISERROR(SEARCH("X",E14)))</formula>
    </cfRule>
  </conditionalFormatting>
  <conditionalFormatting sqref="O14">
    <cfRule type="containsText" dxfId="1" priority="75" operator="between" text="X">
      <formula>NOT(ISERROR(SEARCH("X",O14)))</formula>
    </cfRule>
  </conditionalFormatting>
  <conditionalFormatting sqref="J15">
    <cfRule type="containsText" dxfId="1" priority="87" operator="between" text="X">
      <formula>NOT(ISERROR(SEARCH("X",J15)))</formula>
    </cfRule>
  </conditionalFormatting>
  <conditionalFormatting sqref="B16">
    <cfRule type="cellIs" dxfId="2" priority="85" operator="equal">
      <formula>"x"</formula>
    </cfRule>
  </conditionalFormatting>
  <conditionalFormatting sqref="J16">
    <cfRule type="containsText" dxfId="1" priority="83" operator="between" text="X">
      <formula>NOT(ISERROR(SEARCH("X",J16)))</formula>
    </cfRule>
  </conditionalFormatting>
  <conditionalFormatting sqref="C21">
    <cfRule type="cellIs" dxfId="2" priority="159" operator="equal">
      <formula>"x"</formula>
    </cfRule>
  </conditionalFormatting>
  <conditionalFormatting sqref="E21">
    <cfRule type="cellIs" dxfId="2" priority="5" operator="equal">
      <formula>"x"</formula>
    </cfRule>
  </conditionalFormatting>
  <conditionalFormatting sqref="I21">
    <cfRule type="cellIs" dxfId="2" priority="15" operator="equal">
      <formula>"x"</formula>
    </cfRule>
  </conditionalFormatting>
  <conditionalFormatting sqref="D22">
    <cfRule type="containsText" dxfId="0" priority="139" operator="between" text="X">
      <formula>NOT(ISERROR(SEARCH("X",D22)))</formula>
    </cfRule>
    <cfRule type="expression" dxfId="3" priority="140">
      <formula>COUNTIF(#REF!,"X")&gt;0</formula>
    </cfRule>
    <cfRule type="expression" dxfId="3" priority="141">
      <formula>COUNTIF(#REF!,"X")&gt;0</formula>
    </cfRule>
    <cfRule type="expression" dxfId="3" priority="142">
      <formula>COUNTIF(#REF!,"X")&gt;0</formula>
    </cfRule>
  </conditionalFormatting>
  <conditionalFormatting sqref="E22">
    <cfRule type="containsText" dxfId="0" priority="101" operator="between" text="X">
      <formula>NOT(ISERROR(SEARCH("X",E22)))</formula>
    </cfRule>
    <cfRule type="expression" dxfId="3" priority="102">
      <formula>COUNTIF(#REF!,"X")&gt;0</formula>
    </cfRule>
    <cfRule type="expression" dxfId="3" priority="103">
      <formula>COUNTIF(#REF!,"X")&gt;0</formula>
    </cfRule>
    <cfRule type="expression" dxfId="3" priority="104">
      <formula>COUNTIF(#REF!,"X")&gt;0</formula>
    </cfRule>
  </conditionalFormatting>
  <conditionalFormatting sqref="F22:I22">
    <cfRule type="containsText" dxfId="1" priority="143" operator="between" text="X">
      <formula>NOT(ISERROR(SEARCH("X",F22)))</formula>
    </cfRule>
  </conditionalFormatting>
  <conditionalFormatting sqref="D23">
    <cfRule type="containsText" dxfId="0" priority="135" operator="between" text="X">
      <formula>NOT(ISERROR(SEARCH("X",D23)))</formula>
    </cfRule>
    <cfRule type="expression" dxfId="3" priority="136">
      <formula>COUNTIF(#REF!,"X")&gt;0</formula>
    </cfRule>
    <cfRule type="expression" dxfId="3" priority="137">
      <formula>COUNTIF(#REF!,"X")&gt;0</formula>
    </cfRule>
    <cfRule type="expression" dxfId="3" priority="138">
      <formula>COUNTIF(#REF!,"X")&gt;0</formula>
    </cfRule>
  </conditionalFormatting>
  <conditionalFormatting sqref="E23">
    <cfRule type="containsText" dxfId="0" priority="97" operator="between" text="X">
      <formula>NOT(ISERROR(SEARCH("X",E23)))</formula>
    </cfRule>
    <cfRule type="expression" dxfId="3" priority="98">
      <formula>COUNTIF(#REF!,"X")&gt;0</formula>
    </cfRule>
    <cfRule type="expression" dxfId="3" priority="99">
      <formula>COUNTIF(#REF!,"X")&gt;0</formula>
    </cfRule>
    <cfRule type="expression" dxfId="3" priority="100">
      <formula>COUNTIF(#REF!,"X")&gt;0</formula>
    </cfRule>
  </conditionalFormatting>
  <conditionalFormatting sqref="G23">
    <cfRule type="containsText" dxfId="1" priority="123" operator="between" text="X">
      <formula>NOT(ISERROR(SEARCH("X",G23)))</formula>
    </cfRule>
  </conditionalFormatting>
  <conditionalFormatting sqref="H23">
    <cfRule type="containsText" dxfId="1" priority="122" operator="between" text="X">
      <formula>NOT(ISERROR(SEARCH("X",H23)))</formula>
    </cfRule>
  </conditionalFormatting>
  <conditionalFormatting sqref="C26">
    <cfRule type="cellIs" dxfId="2" priority="158" operator="equal">
      <formula>"x"</formula>
    </cfRule>
  </conditionalFormatting>
  <conditionalFormatting sqref="E26">
    <cfRule type="cellIs" dxfId="2" priority="4" operator="equal">
      <formula>"x"</formula>
    </cfRule>
  </conditionalFormatting>
  <conditionalFormatting sqref="I26">
    <cfRule type="cellIs" dxfId="2" priority="16" operator="equal">
      <formula>"x"</formula>
    </cfRule>
  </conditionalFormatting>
  <conditionalFormatting sqref="D27">
    <cfRule type="containsText" dxfId="0" priority="131" operator="between" text="X">
      <formula>NOT(ISERROR(SEARCH("X",D27)))</formula>
    </cfRule>
    <cfRule type="expression" dxfId="3" priority="132">
      <formula>COUNTIF(#REF!,"X")&gt;0</formula>
    </cfRule>
    <cfRule type="expression" dxfId="3" priority="133">
      <formula>COUNTIF(#REF!,"X")&gt;0</formula>
    </cfRule>
    <cfRule type="expression" dxfId="3" priority="134">
      <formula>COUNTIF(#REF!,"X")&gt;0</formula>
    </cfRule>
  </conditionalFormatting>
  <conditionalFormatting sqref="E27">
    <cfRule type="containsText" dxfId="0" priority="93" operator="between" text="X">
      <formula>NOT(ISERROR(SEARCH("X",E27)))</formula>
    </cfRule>
    <cfRule type="expression" dxfId="3" priority="94">
      <formula>COUNTIF(#REF!,"X")&gt;0</formula>
    </cfRule>
    <cfRule type="expression" dxfId="3" priority="95">
      <formula>COUNTIF(#REF!,"X")&gt;0</formula>
    </cfRule>
    <cfRule type="expression" dxfId="3" priority="96">
      <formula>COUNTIF(#REF!,"X")&gt;0</formula>
    </cfRule>
  </conditionalFormatting>
  <conditionalFormatting sqref="G27:H27">
    <cfRule type="containsText" dxfId="1" priority="146" operator="between" text="X">
      <formula>NOT(ISERROR(SEARCH("X",G27)))</formula>
    </cfRule>
  </conditionalFormatting>
  <conditionalFormatting sqref="C30">
    <cfRule type="cellIs" dxfId="2" priority="71" operator="equal">
      <formula>"x"</formula>
    </cfRule>
  </conditionalFormatting>
  <conditionalFormatting sqref="E30">
    <cfRule type="cellIs" dxfId="2" priority="3" operator="equal">
      <formula>"x"</formula>
    </cfRule>
  </conditionalFormatting>
  <conditionalFormatting sqref="J30">
    <cfRule type="cellIs" dxfId="2" priority="6" operator="equal">
      <formula>"x"</formula>
    </cfRule>
  </conditionalFormatting>
  <conditionalFormatting sqref="K30">
    <cfRule type="cellIs" dxfId="2" priority="7" operator="equal">
      <formula>"x"</formula>
    </cfRule>
  </conditionalFormatting>
  <conditionalFormatting sqref="D31">
    <cfRule type="containsText" dxfId="0" priority="20" operator="between" text="X">
      <formula>NOT(ISERROR(SEARCH("X",D31)))</formula>
    </cfRule>
  </conditionalFormatting>
  <conditionalFormatting sqref="E31">
    <cfRule type="containsText" dxfId="0" priority="18" operator="between" text="X">
      <formula>NOT(ISERROR(SEARCH("X",E31)))</formula>
    </cfRule>
  </conditionalFormatting>
  <conditionalFormatting sqref="F31:K31">
    <cfRule type="containsText" dxfId="1" priority="19" operator="between" text="X">
      <formula>NOT(ISERROR(SEARCH("X",F31)))</formula>
    </cfRule>
  </conditionalFormatting>
  <conditionalFormatting sqref="C34">
    <cfRule type="cellIs" dxfId="2" priority="58" operator="equal">
      <formula>"x"</formula>
    </cfRule>
  </conditionalFormatting>
  <conditionalFormatting sqref="E34">
    <cfRule type="cellIs" dxfId="2" priority="2" operator="equal">
      <formula>"x"</formula>
    </cfRule>
  </conditionalFormatting>
  <conditionalFormatting sqref="D35">
    <cfRule type="containsText" dxfId="0" priority="48" operator="between" text="X">
      <formula>NOT(ISERROR(SEARCH("X",D35)))</formula>
    </cfRule>
    <cfRule type="expression" dxfId="3" priority="49">
      <formula>COUNTIF(#REF!,"X")&gt;0</formula>
    </cfRule>
    <cfRule type="expression" dxfId="3" priority="50">
      <formula>COUNTIF(#REF!,"X")&gt;0</formula>
    </cfRule>
    <cfRule type="expression" dxfId="3" priority="51">
      <formula>COUNTIF(#REF!,"X")&gt;0</formula>
    </cfRule>
  </conditionalFormatting>
  <conditionalFormatting sqref="E35">
    <cfRule type="containsText" dxfId="0" priority="38" operator="between" text="X">
      <formula>NOT(ISERROR(SEARCH("X",E35)))</formula>
    </cfRule>
    <cfRule type="expression" dxfId="3" priority="39">
      <formula>COUNTIF(#REF!,"X")&gt;0</formula>
    </cfRule>
    <cfRule type="expression" dxfId="3" priority="40">
      <formula>COUNTIF(#REF!,"X")&gt;0</formula>
    </cfRule>
    <cfRule type="expression" dxfId="3" priority="41">
      <formula>COUNTIF(#REF!,"X")&gt;0</formula>
    </cfRule>
  </conditionalFormatting>
  <conditionalFormatting sqref="G35">
    <cfRule type="containsText" dxfId="1" priority="47" operator="between" text="X">
      <formula>NOT(ISERROR(SEARCH("X",G35)))</formula>
    </cfRule>
  </conditionalFormatting>
  <conditionalFormatting sqref="H35">
    <cfRule type="containsText" dxfId="1" priority="46" operator="between" text="X">
      <formula>NOT(ISERROR(SEARCH("X",H35)))</formula>
    </cfRule>
  </conditionalFormatting>
  <conditionalFormatting sqref="C38">
    <cfRule type="cellIs" dxfId="2" priority="35" operator="equal">
      <formula>"x"</formula>
    </cfRule>
  </conditionalFormatting>
  <conditionalFormatting sqref="E38">
    <cfRule type="cellIs" dxfId="2" priority="1" operator="equal">
      <formula>"x"</formula>
    </cfRule>
  </conditionalFormatting>
  <conditionalFormatting sqref="I38">
    <cfRule type="cellIs" dxfId="2" priority="17" operator="equal">
      <formula>"x"</formula>
    </cfRule>
  </conditionalFormatting>
  <conditionalFormatting sqref="D39">
    <cfRule type="containsText" dxfId="0" priority="30" operator="between" text="X">
      <formula>NOT(ISERROR(SEARCH("X",D39)))</formula>
    </cfRule>
    <cfRule type="expression" dxfId="3" priority="31">
      <formula>COUNTIF(#REF!,"X")&gt;0</formula>
    </cfRule>
    <cfRule type="expression" dxfId="3" priority="32">
      <formula>COUNTIF(#REF!,"X")&gt;0</formula>
    </cfRule>
    <cfRule type="expression" dxfId="3" priority="33">
      <formula>COUNTIF(#REF!,"X")&gt;0</formula>
    </cfRule>
  </conditionalFormatting>
  <conditionalFormatting sqref="E39">
    <cfRule type="containsText" dxfId="0" priority="24" operator="between" text="X">
      <formula>NOT(ISERROR(SEARCH("X",E39)))</formula>
    </cfRule>
    <cfRule type="expression" dxfId="3" priority="25">
      <formula>COUNTIF(#REF!,"X")&gt;0</formula>
    </cfRule>
    <cfRule type="expression" dxfId="3" priority="26">
      <formula>COUNTIF(#REF!,"X")&gt;0</formula>
    </cfRule>
    <cfRule type="expression" dxfId="3" priority="27">
      <formula>COUNTIF(#REF!,"X")&gt;0</formula>
    </cfRule>
  </conditionalFormatting>
  <conditionalFormatting sqref="G39">
    <cfRule type="containsText" dxfId="1" priority="29" operator="between" text="X">
      <formula>NOT(ISERROR(SEARCH("X",G39)))</formula>
    </cfRule>
  </conditionalFormatting>
  <conditionalFormatting sqref="H39">
    <cfRule type="containsText" dxfId="1" priority="28" operator="between" text="X">
      <formula>NOT(ISERROR(SEARCH("X",H39)))</formula>
    </cfRule>
  </conditionalFormatting>
  <conditionalFormatting sqref="B21:B23">
    <cfRule type="cellIs" dxfId="2" priority="161" operator="equal">
      <formula>"x"</formula>
    </cfRule>
  </conditionalFormatting>
  <conditionalFormatting sqref="B26:B27">
    <cfRule type="cellIs" dxfId="2" priority="160" operator="equal">
      <formula>"x"</formula>
    </cfRule>
  </conditionalFormatting>
  <conditionalFormatting sqref="B30:B31">
    <cfRule type="cellIs" dxfId="2" priority="72" operator="equal">
      <formula>"x"</formula>
    </cfRule>
  </conditionalFormatting>
  <conditionalFormatting sqref="B38:B39">
    <cfRule type="cellIs" dxfId="2" priority="36" operator="equal">
      <formula>"x"</formula>
    </cfRule>
  </conditionalFormatting>
  <conditionalFormatting sqref="J3:J4">
    <cfRule type="containsText" dxfId="0" priority="89" operator="between" text="X">
      <formula>NOT(ISERROR(SEARCH("X",J3)))</formula>
    </cfRule>
  </conditionalFormatting>
  <conditionalFormatting sqref="O5:O13">
    <cfRule type="containsText" dxfId="1" priority="114" operator="between" text="X">
      <formula>NOT(ISERROR(SEARCH("X",O5)))</formula>
    </cfRule>
  </conditionalFormatting>
  <conditionalFormatting sqref="J2 B34:B35">
    <cfRule type="cellIs" dxfId="2" priority="88" operator="equal">
      <formula>"x"</formula>
    </cfRule>
  </conditionalFormatting>
  <conditionalFormatting sqref="C2:I2 B2:B13 K2:O2 B17 B15">
    <cfRule type="cellIs" dxfId="2" priority="164" operator="equal">
      <formula>"x"</formula>
    </cfRule>
  </conditionalFormatting>
  <conditionalFormatting sqref="D3 E4:I4 K15 F5:I13 K17">
    <cfRule type="containsText" dxfId="1" priority="157" operator="between" text="X">
      <formula>NOT(ISERROR(SEARCH("X",D3)))</formula>
    </cfRule>
  </conditionalFormatting>
  <conditionalFormatting sqref="F3:I3 D4:D13 O15 D15:I15 K3:N4 D17:I17 O17 N5:N14">
    <cfRule type="containsText" dxfId="0" priority="185" operator="between" text="X">
      <formula>NOT(ISERROR(SEARCH("X",D3)))</formula>
    </cfRule>
  </conditionalFormatting>
  <conditionalFormatting sqref="E5:E7 E10:E13">
    <cfRule type="containsText" dxfId="0" priority="105" operator="between" text="X">
      <formula>NOT(ISERROR(SEARCH("X",E5)))</formula>
    </cfRule>
  </conditionalFormatting>
  <conditionalFormatting sqref="F14:M14 J5:M13">
    <cfRule type="containsText" dxfId="1" priority="76" operator="between" text="X">
      <formula>NOT(ISERROR(SEARCH("X",F5)))</formula>
    </cfRule>
  </conditionalFormatting>
  <conditionalFormatting sqref="O16 D16:I16">
    <cfRule type="containsText" dxfId="0" priority="86" operator="between" text="X">
      <formula>NOT(ISERROR(SEARCH("X",D16)))</formula>
    </cfRule>
  </conditionalFormatting>
  <conditionalFormatting sqref="D21 F21:H21">
    <cfRule type="cellIs" dxfId="2" priority="81" operator="equal">
      <formula>"x"</formula>
    </cfRule>
  </conditionalFormatting>
  <conditionalFormatting sqref="F23 I23">
    <cfRule type="containsText" dxfId="1" priority="155" operator="between" text="X">
      <formula>NOT(ISERROR(SEARCH("X",F23)))</formula>
    </cfRule>
  </conditionalFormatting>
  <conditionalFormatting sqref="D26 F26:H26">
    <cfRule type="cellIs" dxfId="2" priority="80" operator="equal">
      <formula>"x"</formula>
    </cfRule>
  </conditionalFormatting>
  <conditionalFormatting sqref="F27 I27">
    <cfRule type="containsText" dxfId="1" priority="154" operator="between" text="X">
      <formula>NOT(ISERROR(SEARCH("X",F27)))</formula>
    </cfRule>
  </conditionalFormatting>
  <conditionalFormatting sqref="D30 F30:I30">
    <cfRule type="cellIs" dxfId="2" priority="60" operator="equal">
      <formula>"x"</formula>
    </cfRule>
  </conditionalFormatting>
  <conditionalFormatting sqref="D34 F34:I34">
    <cfRule type="cellIs" dxfId="2" priority="37" operator="equal">
      <formula>"x"</formula>
    </cfRule>
  </conditionalFormatting>
  <conditionalFormatting sqref="F35 I35">
    <cfRule type="containsText" dxfId="1" priority="57" operator="between" text="X">
      <formula>NOT(ISERROR(SEARCH("X",F35)))</formula>
    </cfRule>
  </conditionalFormatting>
  <conditionalFormatting sqref="D38 F38:H38">
    <cfRule type="cellIs" dxfId="2" priority="23" operator="equal">
      <formula>"x"</formula>
    </cfRule>
  </conditionalFormatting>
  <conditionalFormatting sqref="F39 I39">
    <cfRule type="containsText" dxfId="1" priority="34" operator="between" text="X">
      <formula>NOT(ISERROR(SEARCH("X",F39)))</formula>
    </cfRule>
  </conditionalFormatting>
  <dataValidations count="1">
    <dataValidation type="list" allowBlank="1" showInputMessage="1" showErrorMessage="1" sqref="D3 E4 E5 E6 E8 K15 K17 F27:I27 F31:K31 F35:I35 F39:I39 J15:J16 O4:O14 F4:I14 F22:I23 J5:M14">
      <formula1>"x,"</formula1>
    </dataValidation>
  </dataValidations>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AR29"/>
  <sheetViews>
    <sheetView showGridLines="0" workbookViewId="0">
      <selection activeCell="E4" sqref="E4:F4"/>
    </sheetView>
  </sheetViews>
  <sheetFormatPr defaultColWidth="9" defaultRowHeight="16.5"/>
  <cols>
    <col min="1" max="1" width="6.25" style="267" customWidth="1"/>
    <col min="2" max="2" width="27.375" style="267" customWidth="1"/>
    <col min="3" max="10" width="11.125" style="267" customWidth="1"/>
    <col min="11" max="13" width="18.25" style="267" customWidth="1"/>
    <col min="14" max="14" width="9" style="267"/>
    <col min="15" max="15" width="5.625" style="267" customWidth="1"/>
    <col min="16" max="16" width="9" style="267"/>
    <col min="17" max="17" width="18.75" style="267" customWidth="1"/>
    <col min="18" max="25" width="10.375" style="267" customWidth="1"/>
    <col min="26" max="31" width="9" style="267"/>
    <col min="32" max="32" width="19.125" style="267" customWidth="1"/>
    <col min="33" max="16384" width="9" style="267"/>
  </cols>
  <sheetData>
    <row r="1" ht="14.25" customHeight="1" spans="3:10">
      <c r="C1" s="267" t="s">
        <v>114</v>
      </c>
      <c r="D1" s="267" t="s">
        <v>115</v>
      </c>
      <c r="E1" s="267" t="s">
        <v>116</v>
      </c>
      <c r="F1" s="267" t="s">
        <v>117</v>
      </c>
      <c r="G1" s="267" t="s">
        <v>118</v>
      </c>
      <c r="H1" s="267" t="s">
        <v>119</v>
      </c>
      <c r="I1" t="s">
        <v>120</v>
      </c>
      <c r="J1" t="s">
        <v>121</v>
      </c>
    </row>
    <row r="2" ht="17.25" customHeight="1" spans="2:32">
      <c r="B2" s="268" t="s">
        <v>175</v>
      </c>
      <c r="C2" s="269" t="s">
        <v>126</v>
      </c>
      <c r="D2" s="269" t="s">
        <v>127</v>
      </c>
      <c r="E2" s="269" t="s">
        <v>128</v>
      </c>
      <c r="F2" s="269" t="s">
        <v>129</v>
      </c>
      <c r="G2" s="269" t="s">
        <v>130</v>
      </c>
      <c r="H2" s="269" t="s">
        <v>131</v>
      </c>
      <c r="I2" s="290" t="s">
        <v>132</v>
      </c>
      <c r="J2" s="290" t="s">
        <v>133</v>
      </c>
      <c r="L2" s="291" t="s">
        <v>176</v>
      </c>
      <c r="M2" s="292" t="s">
        <v>177</v>
      </c>
      <c r="N2" s="292" t="s">
        <v>178</v>
      </c>
      <c r="O2" s="292" t="s">
        <v>179</v>
      </c>
      <c r="P2" s="292" t="s">
        <v>180</v>
      </c>
      <c r="Q2" s="292" t="s">
        <v>181</v>
      </c>
      <c r="R2" s="292" t="s">
        <v>182</v>
      </c>
      <c r="S2" s="292"/>
      <c r="T2" s="292"/>
      <c r="U2" s="292"/>
      <c r="V2" s="292"/>
      <c r="W2" s="292"/>
      <c r="X2" s="292"/>
      <c r="Y2" s="292"/>
      <c r="Z2" s="318" t="s">
        <v>183</v>
      </c>
      <c r="AA2" s="318"/>
      <c r="AB2" s="318"/>
      <c r="AC2" s="318"/>
      <c r="AD2" s="318"/>
      <c r="AE2" s="318"/>
      <c r="AF2" s="319"/>
    </row>
    <row r="3" spans="2:32">
      <c r="B3" s="268" t="s">
        <v>184</v>
      </c>
      <c r="C3" s="270" t="s">
        <v>185</v>
      </c>
      <c r="D3" s="271" t="s">
        <v>185</v>
      </c>
      <c r="E3" s="271" t="s">
        <v>185</v>
      </c>
      <c r="F3" s="271" t="s">
        <v>185</v>
      </c>
      <c r="G3" s="272" t="s">
        <v>185</v>
      </c>
      <c r="H3" s="272" t="s">
        <v>185</v>
      </c>
      <c r="I3" s="272" t="s">
        <v>186</v>
      </c>
      <c r="J3" s="272" t="s">
        <v>185</v>
      </c>
      <c r="L3" s="293" t="s">
        <v>91</v>
      </c>
      <c r="M3" s="294">
        <f>[5]Lists!$R$2</f>
        <v>0</v>
      </c>
      <c r="N3" s="294">
        <f>[5]Lists!$R$3</f>
        <v>1</v>
      </c>
      <c r="O3" s="295">
        <v>1</v>
      </c>
      <c r="P3" s="294">
        <v>0</v>
      </c>
      <c r="Q3" s="263"/>
      <c r="R3" s="311" t="s">
        <v>187</v>
      </c>
      <c r="S3" s="311"/>
      <c r="T3" s="311"/>
      <c r="U3" s="311"/>
      <c r="V3" s="311"/>
      <c r="W3" s="311"/>
      <c r="X3" s="311"/>
      <c r="Y3" s="311"/>
      <c r="Z3" s="320"/>
      <c r="AA3" s="320"/>
      <c r="AB3" s="320"/>
      <c r="AC3" s="320"/>
      <c r="AD3" s="320"/>
      <c r="AE3" s="320"/>
      <c r="AF3" s="320"/>
    </row>
    <row r="4" spans="2:32">
      <c r="B4" s="268" t="s">
        <v>188</v>
      </c>
      <c r="C4" s="273">
        <v>2.5</v>
      </c>
      <c r="D4" s="274">
        <v>20</v>
      </c>
      <c r="E4" s="273">
        <v>5</v>
      </c>
      <c r="F4" s="273">
        <v>5</v>
      </c>
      <c r="G4" s="275">
        <v>2.5</v>
      </c>
      <c r="H4" s="275">
        <v>2.5</v>
      </c>
      <c r="I4" s="287"/>
      <c r="J4" s="287"/>
      <c r="L4" s="293" t="s">
        <v>84</v>
      </c>
      <c r="M4" s="296">
        <v>2.5</v>
      </c>
      <c r="N4" s="297">
        <v>50</v>
      </c>
      <c r="O4" s="298">
        <v>0.1</v>
      </c>
      <c r="P4" s="297">
        <v>2</v>
      </c>
      <c r="Q4" s="312"/>
      <c r="R4" s="311" t="s">
        <v>189</v>
      </c>
      <c r="S4" s="311"/>
      <c r="T4" s="311"/>
      <c r="U4" s="311"/>
      <c r="V4" s="311"/>
      <c r="W4" s="311"/>
      <c r="X4" s="311"/>
      <c r="Y4" s="311"/>
      <c r="Z4" s="320"/>
      <c r="AA4" s="320"/>
      <c r="AB4" s="320"/>
      <c r="AC4" s="320"/>
      <c r="AD4" s="320"/>
      <c r="AE4" s="320"/>
      <c r="AF4" s="320"/>
    </row>
    <row r="5" ht="22.5" customHeight="1" spans="2:32">
      <c r="B5" s="268" t="s">
        <v>190</v>
      </c>
      <c r="C5" s="273">
        <v>20</v>
      </c>
      <c r="D5" s="274">
        <v>40</v>
      </c>
      <c r="E5" s="273">
        <v>25</v>
      </c>
      <c r="F5" s="273">
        <v>25</v>
      </c>
      <c r="G5" s="273">
        <v>15</v>
      </c>
      <c r="H5" s="273">
        <v>35</v>
      </c>
      <c r="I5" s="287"/>
      <c r="J5" s="287"/>
      <c r="L5" s="293" t="s">
        <v>84</v>
      </c>
      <c r="M5" s="296">
        <v>2.5</v>
      </c>
      <c r="N5" s="297">
        <v>50</v>
      </c>
      <c r="O5" s="298">
        <v>0.1</v>
      </c>
      <c r="P5" s="297">
        <v>2</v>
      </c>
      <c r="Q5" s="263"/>
      <c r="R5" s="311" t="s">
        <v>191</v>
      </c>
      <c r="S5" s="311"/>
      <c r="T5" s="311"/>
      <c r="U5" s="311"/>
      <c r="V5" s="311"/>
      <c r="W5" s="311"/>
      <c r="X5" s="311"/>
      <c r="Y5" s="311"/>
      <c r="Z5" s="321"/>
      <c r="AA5" s="321"/>
      <c r="AB5" s="321"/>
      <c r="AC5" s="321"/>
      <c r="AD5" s="321"/>
      <c r="AE5" s="321"/>
      <c r="AF5" s="321"/>
    </row>
    <row r="6" spans="2:32">
      <c r="B6" s="268" t="s">
        <v>192</v>
      </c>
      <c r="C6" s="276">
        <v>1150</v>
      </c>
      <c r="D6" s="277">
        <v>1100</v>
      </c>
      <c r="E6" s="278">
        <v>800</v>
      </c>
      <c r="F6" s="278">
        <v>950</v>
      </c>
      <c r="G6" s="277">
        <v>200</v>
      </c>
      <c r="H6" s="277">
        <v>450</v>
      </c>
      <c r="I6" s="287"/>
      <c r="J6" s="287"/>
      <c r="L6" s="293" t="s">
        <v>82</v>
      </c>
      <c r="M6" s="299">
        <v>10</v>
      </c>
      <c r="N6" s="294">
        <v>1500</v>
      </c>
      <c r="O6" s="295">
        <v>1</v>
      </c>
      <c r="P6" s="294">
        <v>100</v>
      </c>
      <c r="Q6" s="263"/>
      <c r="R6" s="311" t="s">
        <v>193</v>
      </c>
      <c r="S6" s="311"/>
      <c r="T6" s="311"/>
      <c r="U6" s="311"/>
      <c r="V6" s="311"/>
      <c r="W6" s="311"/>
      <c r="X6" s="311"/>
      <c r="Y6" s="311"/>
      <c r="Z6" s="311" t="s">
        <v>194</v>
      </c>
      <c r="AA6" s="321"/>
      <c r="AB6" s="321"/>
      <c r="AC6" s="321"/>
      <c r="AD6" s="321"/>
      <c r="AE6" s="321"/>
      <c r="AF6" s="321"/>
    </row>
    <row r="7" spans="2:32">
      <c r="B7" s="268" t="s">
        <v>195</v>
      </c>
      <c r="C7" s="278">
        <v>100</v>
      </c>
      <c r="D7" s="276">
        <v>100</v>
      </c>
      <c r="E7" s="278">
        <v>100</v>
      </c>
      <c r="F7" s="278">
        <v>100</v>
      </c>
      <c r="G7" s="278">
        <v>100</v>
      </c>
      <c r="H7" s="278">
        <v>100</v>
      </c>
      <c r="I7" s="287"/>
      <c r="J7" s="287"/>
      <c r="L7" s="293" t="s">
        <v>82</v>
      </c>
      <c r="M7" s="299">
        <v>10</v>
      </c>
      <c r="N7" s="294">
        <v>1500</v>
      </c>
      <c r="O7" s="295">
        <v>1</v>
      </c>
      <c r="P7" s="294">
        <v>100</v>
      </c>
      <c r="Q7" s="263"/>
      <c r="R7" s="311" t="s">
        <v>196</v>
      </c>
      <c r="S7" s="311"/>
      <c r="T7" s="311"/>
      <c r="U7" s="311"/>
      <c r="V7" s="311"/>
      <c r="W7" s="311"/>
      <c r="X7" s="311"/>
      <c r="Y7" s="311"/>
      <c r="Z7" s="320"/>
      <c r="AA7" s="320"/>
      <c r="AB7" s="320"/>
      <c r="AC7" s="320"/>
      <c r="AD7" s="320"/>
      <c r="AE7" s="320"/>
      <c r="AF7" s="320"/>
    </row>
    <row r="8" spans="2:32">
      <c r="B8" s="268" t="s">
        <v>197</v>
      </c>
      <c r="C8" s="278">
        <v>1500</v>
      </c>
      <c r="D8" s="276">
        <v>1500</v>
      </c>
      <c r="E8" s="278">
        <v>1500</v>
      </c>
      <c r="F8" s="278">
        <v>1500</v>
      </c>
      <c r="G8" s="278">
        <v>1500</v>
      </c>
      <c r="H8" s="278">
        <v>1500</v>
      </c>
      <c r="I8" s="287"/>
      <c r="J8" s="287"/>
      <c r="L8" s="293" t="s">
        <v>82</v>
      </c>
      <c r="M8" s="300">
        <v>100</v>
      </c>
      <c r="N8" s="294">
        <v>1500</v>
      </c>
      <c r="O8" s="295">
        <v>1</v>
      </c>
      <c r="P8" s="294">
        <v>600</v>
      </c>
      <c r="Q8" s="263"/>
      <c r="R8" s="311" t="s">
        <v>198</v>
      </c>
      <c r="S8" s="311"/>
      <c r="T8" s="311"/>
      <c r="U8" s="311"/>
      <c r="V8" s="311"/>
      <c r="W8" s="311"/>
      <c r="X8" s="311"/>
      <c r="Y8" s="311"/>
      <c r="Z8" s="320"/>
      <c r="AA8" s="320"/>
      <c r="AB8" s="320"/>
      <c r="AC8" s="320"/>
      <c r="AD8" s="320"/>
      <c r="AE8" s="320"/>
      <c r="AF8" s="320"/>
    </row>
    <row r="9" spans="2:32">
      <c r="B9" s="268" t="s">
        <v>199</v>
      </c>
      <c r="C9" s="273">
        <v>22</v>
      </c>
      <c r="D9" s="274">
        <v>44</v>
      </c>
      <c r="E9" s="273">
        <v>12</v>
      </c>
      <c r="F9" s="273">
        <v>16</v>
      </c>
      <c r="G9" s="279">
        <v>3</v>
      </c>
      <c r="H9" s="274">
        <v>15</v>
      </c>
      <c r="I9" s="287"/>
      <c r="J9" s="287"/>
      <c r="L9" s="293" t="s">
        <v>88</v>
      </c>
      <c r="M9" s="301">
        <v>0</v>
      </c>
      <c r="N9" s="301">
        <v>30</v>
      </c>
      <c r="O9" s="298">
        <v>0.1</v>
      </c>
      <c r="P9" s="301">
        <v>30</v>
      </c>
      <c r="Q9" s="263"/>
      <c r="R9" s="311" t="s">
        <v>200</v>
      </c>
      <c r="S9" s="311"/>
      <c r="T9" s="311"/>
      <c r="U9" s="311"/>
      <c r="V9" s="311"/>
      <c r="W9" s="311"/>
      <c r="X9" s="311"/>
      <c r="Y9" s="311"/>
      <c r="Z9" s="320"/>
      <c r="AA9" s="320"/>
      <c r="AB9" s="320"/>
      <c r="AC9" s="320"/>
      <c r="AD9" s="320"/>
      <c r="AE9" s="320"/>
      <c r="AF9" s="320"/>
    </row>
    <row r="10" spans="1:32">
      <c r="A10" s="280" t="s">
        <v>201</v>
      </c>
      <c r="B10" s="268" t="s">
        <v>202</v>
      </c>
      <c r="C10" s="281">
        <v>-40</v>
      </c>
      <c r="D10" s="282">
        <v>-40</v>
      </c>
      <c r="E10" s="281">
        <v>-40</v>
      </c>
      <c r="F10" s="281">
        <v>-40</v>
      </c>
      <c r="G10" s="283">
        <v>-40</v>
      </c>
      <c r="H10" s="283">
        <v>-40</v>
      </c>
      <c r="I10" s="287"/>
      <c r="J10" s="287"/>
      <c r="L10" s="457" t="s">
        <v>203</v>
      </c>
      <c r="M10" s="302">
        <v>-40</v>
      </c>
      <c r="N10" s="302">
        <v>150</v>
      </c>
      <c r="O10" s="295">
        <v>1</v>
      </c>
      <c r="P10" s="457" t="s">
        <v>204</v>
      </c>
      <c r="Q10" s="263" t="s">
        <v>202</v>
      </c>
      <c r="R10" s="102" t="s">
        <v>205</v>
      </c>
      <c r="S10" s="102"/>
      <c r="T10" s="102"/>
      <c r="U10" s="102"/>
      <c r="V10" s="102"/>
      <c r="W10" s="102"/>
      <c r="X10" s="102"/>
      <c r="Y10" s="102"/>
      <c r="Z10" s="315"/>
      <c r="AA10" s="315"/>
      <c r="AB10" s="315"/>
      <c r="AC10" s="315"/>
      <c r="AD10" s="315"/>
      <c r="AE10" s="315"/>
      <c r="AF10" s="315"/>
    </row>
    <row r="11" spans="1:32">
      <c r="A11" s="280"/>
      <c r="B11" s="268" t="s">
        <v>206</v>
      </c>
      <c r="C11" s="281">
        <v>25</v>
      </c>
      <c r="D11" s="281">
        <v>25</v>
      </c>
      <c r="E11" s="281">
        <v>25</v>
      </c>
      <c r="F11" s="281">
        <v>25</v>
      </c>
      <c r="G11" s="283">
        <v>25</v>
      </c>
      <c r="H11" s="283">
        <v>25</v>
      </c>
      <c r="I11" s="287"/>
      <c r="J11" s="287"/>
      <c r="L11" s="457" t="s">
        <v>203</v>
      </c>
      <c r="M11" s="302">
        <v>-40</v>
      </c>
      <c r="N11" s="302">
        <v>150</v>
      </c>
      <c r="O11" s="295">
        <v>1</v>
      </c>
      <c r="P11" s="457" t="s">
        <v>207</v>
      </c>
      <c r="Q11" s="263" t="s">
        <v>206</v>
      </c>
      <c r="R11" s="102" t="s">
        <v>208</v>
      </c>
      <c r="S11" s="102"/>
      <c r="T11" s="102"/>
      <c r="U11" s="102"/>
      <c r="V11" s="102"/>
      <c r="W11" s="102"/>
      <c r="X11" s="102"/>
      <c r="Y11" s="102"/>
      <c r="Z11" s="315"/>
      <c r="AA11" s="315"/>
      <c r="AB11" s="315"/>
      <c r="AC11" s="315"/>
      <c r="AD11" s="315"/>
      <c r="AE11" s="315"/>
      <c r="AF11" s="315"/>
    </row>
    <row r="12" spans="1:32">
      <c r="A12" s="280"/>
      <c r="B12" s="268" t="s">
        <v>209</v>
      </c>
      <c r="C12" s="281">
        <v>100</v>
      </c>
      <c r="D12" s="281">
        <v>100</v>
      </c>
      <c r="E12" s="281">
        <v>92</v>
      </c>
      <c r="F12" s="281">
        <v>95</v>
      </c>
      <c r="G12" s="283">
        <v>92</v>
      </c>
      <c r="H12" s="283">
        <v>92</v>
      </c>
      <c r="I12" s="287"/>
      <c r="J12" s="287"/>
      <c r="L12" s="457" t="s">
        <v>203</v>
      </c>
      <c r="M12" s="302">
        <v>-40</v>
      </c>
      <c r="N12" s="302">
        <v>150</v>
      </c>
      <c r="O12" s="295">
        <v>1</v>
      </c>
      <c r="P12" s="302">
        <v>100</v>
      </c>
      <c r="Q12" s="263" t="s">
        <v>209</v>
      </c>
      <c r="R12" s="102" t="s">
        <v>210</v>
      </c>
      <c r="S12" s="102"/>
      <c r="T12" s="102"/>
      <c r="U12" s="102"/>
      <c r="V12" s="102"/>
      <c r="W12" s="102"/>
      <c r="X12" s="102"/>
      <c r="Y12" s="102"/>
      <c r="Z12" s="315"/>
      <c r="AA12" s="315"/>
      <c r="AB12" s="315"/>
      <c r="AC12" s="315"/>
      <c r="AD12" s="315"/>
      <c r="AE12" s="315"/>
      <c r="AF12" s="315"/>
    </row>
    <row r="13" spans="1:32">
      <c r="A13" s="280"/>
      <c r="B13" s="268" t="s">
        <v>211</v>
      </c>
      <c r="C13" s="281">
        <v>110</v>
      </c>
      <c r="D13" s="281">
        <v>110</v>
      </c>
      <c r="E13" s="281">
        <v>102</v>
      </c>
      <c r="F13" s="281">
        <v>105</v>
      </c>
      <c r="G13" s="283">
        <v>102</v>
      </c>
      <c r="H13" s="283">
        <v>102</v>
      </c>
      <c r="I13" s="287"/>
      <c r="J13" s="287"/>
      <c r="L13" s="457" t="s">
        <v>203</v>
      </c>
      <c r="M13" s="302">
        <v>-40</v>
      </c>
      <c r="N13" s="302">
        <v>150</v>
      </c>
      <c r="O13" s="295">
        <v>1</v>
      </c>
      <c r="P13" s="302">
        <v>120</v>
      </c>
      <c r="Q13" s="263" t="s">
        <v>211</v>
      </c>
      <c r="R13" s="102" t="s">
        <v>212</v>
      </c>
      <c r="S13" s="102"/>
      <c r="T13" s="102"/>
      <c r="U13" s="102"/>
      <c r="V13" s="102"/>
      <c r="W13" s="102"/>
      <c r="X13" s="102"/>
      <c r="Y13" s="102"/>
      <c r="Z13" s="315"/>
      <c r="AA13" s="315"/>
      <c r="AB13" s="315"/>
      <c r="AC13" s="315"/>
      <c r="AD13" s="315"/>
      <c r="AE13" s="315"/>
      <c r="AF13" s="315"/>
    </row>
    <row r="14" spans="1:32">
      <c r="A14" s="280"/>
      <c r="B14" s="268" t="s">
        <v>213</v>
      </c>
      <c r="C14" s="281">
        <v>120</v>
      </c>
      <c r="D14" s="281">
        <v>120</v>
      </c>
      <c r="E14" s="281">
        <v>113</v>
      </c>
      <c r="F14" s="281">
        <v>115</v>
      </c>
      <c r="G14" s="283">
        <v>113</v>
      </c>
      <c r="H14" s="283">
        <v>113</v>
      </c>
      <c r="I14" s="287"/>
      <c r="J14" s="287"/>
      <c r="L14" s="457" t="s">
        <v>203</v>
      </c>
      <c r="M14" s="302">
        <v>-40</v>
      </c>
      <c r="N14" s="302">
        <v>150</v>
      </c>
      <c r="O14" s="295">
        <v>1</v>
      </c>
      <c r="P14" s="302">
        <v>150</v>
      </c>
      <c r="Q14" s="263" t="s">
        <v>213</v>
      </c>
      <c r="R14" s="102" t="s">
        <v>214</v>
      </c>
      <c r="S14" s="102"/>
      <c r="T14" s="102"/>
      <c r="U14" s="102"/>
      <c r="V14" s="102"/>
      <c r="W14" s="102"/>
      <c r="X14" s="102"/>
      <c r="Y14" s="102"/>
      <c r="Z14" s="315"/>
      <c r="AA14" s="315"/>
      <c r="AB14" s="315"/>
      <c r="AC14" s="315"/>
      <c r="AD14" s="315"/>
      <c r="AE14" s="315"/>
      <c r="AF14" s="315"/>
    </row>
    <row r="15" spans="1:32">
      <c r="A15" s="280"/>
      <c r="B15" s="268" t="s">
        <v>215</v>
      </c>
      <c r="C15" s="284">
        <v>100</v>
      </c>
      <c r="D15" s="284">
        <v>100</v>
      </c>
      <c r="E15" s="284">
        <v>100</v>
      </c>
      <c r="F15" s="284">
        <v>100</v>
      </c>
      <c r="G15" s="285">
        <v>100</v>
      </c>
      <c r="H15" s="285">
        <v>100</v>
      </c>
      <c r="I15" s="287"/>
      <c r="J15" s="287"/>
      <c r="L15" s="457" t="s">
        <v>90</v>
      </c>
      <c r="M15" s="302">
        <v>0</v>
      </c>
      <c r="N15" s="302">
        <v>100</v>
      </c>
      <c r="O15" s="295">
        <v>1</v>
      </c>
      <c r="P15" s="302">
        <v>100</v>
      </c>
      <c r="Q15" s="263" t="s">
        <v>216</v>
      </c>
      <c r="R15" s="102" t="s">
        <v>217</v>
      </c>
      <c r="S15" s="102"/>
      <c r="T15" s="102"/>
      <c r="U15" s="102"/>
      <c r="V15" s="102"/>
      <c r="W15" s="102"/>
      <c r="X15" s="102"/>
      <c r="Y15" s="102"/>
      <c r="Z15" s="322" t="s">
        <v>218</v>
      </c>
      <c r="AA15" s="322"/>
      <c r="AB15" s="322"/>
      <c r="AC15" s="322"/>
      <c r="AD15" s="322"/>
      <c r="AE15" s="322"/>
      <c r="AF15" s="322"/>
    </row>
    <row r="16" spans="1:32">
      <c r="A16" s="280"/>
      <c r="B16" s="268" t="s">
        <v>219</v>
      </c>
      <c r="C16" s="284">
        <v>70</v>
      </c>
      <c r="D16" s="284">
        <v>70</v>
      </c>
      <c r="E16" s="284">
        <v>89</v>
      </c>
      <c r="F16" s="284">
        <v>85</v>
      </c>
      <c r="G16" s="285">
        <v>89</v>
      </c>
      <c r="H16" s="285">
        <v>89</v>
      </c>
      <c r="I16" s="287"/>
      <c r="J16" s="287"/>
      <c r="L16" s="457" t="s">
        <v>90</v>
      </c>
      <c r="M16" s="302">
        <v>0</v>
      </c>
      <c r="N16" s="302">
        <v>100</v>
      </c>
      <c r="O16" s="295">
        <v>1</v>
      </c>
      <c r="P16" s="302">
        <v>50</v>
      </c>
      <c r="Q16" s="263" t="s">
        <v>220</v>
      </c>
      <c r="R16" s="102" t="s">
        <v>221</v>
      </c>
      <c r="S16" s="102"/>
      <c r="T16" s="102"/>
      <c r="U16" s="102"/>
      <c r="V16" s="102"/>
      <c r="W16" s="102"/>
      <c r="X16" s="102"/>
      <c r="Y16" s="102"/>
      <c r="Z16" s="322" t="s">
        <v>218</v>
      </c>
      <c r="AA16" s="322"/>
      <c r="AB16" s="322"/>
      <c r="AC16" s="322"/>
      <c r="AD16" s="322"/>
      <c r="AE16" s="322"/>
      <c r="AF16" s="322"/>
    </row>
    <row r="17" spans="1:32">
      <c r="A17" s="280"/>
      <c r="B17" s="268" t="s">
        <v>222</v>
      </c>
      <c r="C17" s="284">
        <v>50</v>
      </c>
      <c r="D17" s="284">
        <v>50</v>
      </c>
      <c r="E17" s="284">
        <v>75</v>
      </c>
      <c r="F17" s="284">
        <v>70</v>
      </c>
      <c r="G17" s="285">
        <v>75</v>
      </c>
      <c r="H17" s="285">
        <v>75</v>
      </c>
      <c r="I17" s="287"/>
      <c r="J17" s="287"/>
      <c r="L17" s="457" t="s">
        <v>90</v>
      </c>
      <c r="M17" s="302">
        <v>0</v>
      </c>
      <c r="N17" s="302">
        <v>100</v>
      </c>
      <c r="O17" s="295">
        <v>1</v>
      </c>
      <c r="P17" s="302">
        <v>10</v>
      </c>
      <c r="Q17" s="263" t="s">
        <v>223</v>
      </c>
      <c r="R17" s="102" t="s">
        <v>224</v>
      </c>
      <c r="S17" s="102"/>
      <c r="T17" s="102"/>
      <c r="U17" s="102"/>
      <c r="V17" s="102"/>
      <c r="W17" s="102"/>
      <c r="X17" s="102"/>
      <c r="Y17" s="102"/>
      <c r="Z17" s="322" t="s">
        <v>218</v>
      </c>
      <c r="AA17" s="322"/>
      <c r="AB17" s="322"/>
      <c r="AC17" s="322"/>
      <c r="AD17" s="322"/>
      <c r="AE17" s="322"/>
      <c r="AF17" s="322"/>
    </row>
    <row r="18" spans="2:32">
      <c r="B18" s="268" t="s">
        <v>225</v>
      </c>
      <c r="C18" s="286"/>
      <c r="D18" s="286"/>
      <c r="E18" s="286"/>
      <c r="F18" s="286"/>
      <c r="G18" s="286"/>
      <c r="H18" s="286"/>
      <c r="I18" s="303">
        <v>1</v>
      </c>
      <c r="J18" s="304">
        <v>1</v>
      </c>
      <c r="K18" s="305"/>
      <c r="L18" s="293" t="s">
        <v>91</v>
      </c>
      <c r="M18" s="294">
        <v>0</v>
      </c>
      <c r="N18" s="294">
        <v>1</v>
      </c>
      <c r="O18" s="295">
        <v>1</v>
      </c>
      <c r="P18" s="294">
        <v>0</v>
      </c>
      <c r="Q18" s="263"/>
      <c r="R18" s="311" t="s">
        <v>226</v>
      </c>
      <c r="S18" s="311"/>
      <c r="T18" s="311"/>
      <c r="U18" s="311"/>
      <c r="V18" s="311"/>
      <c r="W18" s="311"/>
      <c r="X18" s="311"/>
      <c r="Y18" s="311"/>
      <c r="Z18" s="320"/>
      <c r="AA18" s="320"/>
      <c r="AB18" s="320"/>
      <c r="AC18" s="320"/>
      <c r="AD18" s="320"/>
      <c r="AE18" s="320"/>
      <c r="AF18" s="320"/>
    </row>
    <row r="19" spans="2:32">
      <c r="B19" s="268" t="s">
        <v>227</v>
      </c>
      <c r="C19" s="287"/>
      <c r="D19" s="287"/>
      <c r="E19" s="287"/>
      <c r="F19" s="287"/>
      <c r="G19" s="287"/>
      <c r="H19" s="287"/>
      <c r="I19" s="283">
        <v>30</v>
      </c>
      <c r="J19" s="283">
        <v>30</v>
      </c>
      <c r="L19" s="293" t="s">
        <v>82</v>
      </c>
      <c r="M19" s="294">
        <v>30</v>
      </c>
      <c r="N19" s="294">
        <v>100</v>
      </c>
      <c r="O19" s="295">
        <v>1</v>
      </c>
      <c r="P19" s="294">
        <v>80</v>
      </c>
      <c r="Q19" s="263"/>
      <c r="R19" s="311" t="s">
        <v>228</v>
      </c>
      <c r="S19" s="311"/>
      <c r="T19" s="311"/>
      <c r="U19" s="311"/>
      <c r="V19" s="311"/>
      <c r="W19" s="311"/>
      <c r="X19" s="311"/>
      <c r="Y19" s="311"/>
      <c r="Z19" s="320"/>
      <c r="AA19" s="320"/>
      <c r="AB19" s="320"/>
      <c r="AC19" s="320"/>
      <c r="AD19" s="320"/>
      <c r="AE19" s="320"/>
      <c r="AF19" s="320"/>
    </row>
    <row r="20" spans="2:32">
      <c r="B20" s="268" t="s">
        <v>229</v>
      </c>
      <c r="C20" s="287"/>
      <c r="D20" s="287"/>
      <c r="E20" s="287"/>
      <c r="F20" s="287"/>
      <c r="G20" s="287"/>
      <c r="H20" s="287"/>
      <c r="I20" s="283">
        <v>1100</v>
      </c>
      <c r="J20" s="283">
        <v>1050</v>
      </c>
      <c r="L20" s="293" t="s">
        <v>82</v>
      </c>
      <c r="M20" s="294">
        <v>200</v>
      </c>
      <c r="N20" s="294">
        <v>1100</v>
      </c>
      <c r="O20" s="295">
        <v>1</v>
      </c>
      <c r="P20" s="294">
        <v>400</v>
      </c>
      <c r="Q20" s="263"/>
      <c r="R20" s="311" t="s">
        <v>230</v>
      </c>
      <c r="S20" s="311"/>
      <c r="T20" s="311"/>
      <c r="U20" s="311"/>
      <c r="V20" s="311"/>
      <c r="W20" s="311"/>
      <c r="X20" s="311"/>
      <c r="Y20" s="311"/>
      <c r="Z20" s="320"/>
      <c r="AA20" s="320"/>
      <c r="AB20" s="320"/>
      <c r="AC20" s="320"/>
      <c r="AD20" s="320"/>
      <c r="AE20" s="320"/>
      <c r="AF20" s="320"/>
    </row>
    <row r="21" spans="2:32">
      <c r="B21" s="268" t="s">
        <v>231</v>
      </c>
      <c r="C21" s="287"/>
      <c r="D21" s="287"/>
      <c r="E21" s="287"/>
      <c r="F21" s="287"/>
      <c r="G21" s="287"/>
      <c r="H21" s="287"/>
      <c r="I21" s="306">
        <v>20.2</v>
      </c>
      <c r="J21" s="306">
        <v>21.2</v>
      </c>
      <c r="L21" s="293" t="s">
        <v>84</v>
      </c>
      <c r="M21" s="301">
        <v>13</v>
      </c>
      <c r="N21" s="301">
        <v>21.2</v>
      </c>
      <c r="O21" s="298">
        <v>0.1</v>
      </c>
      <c r="P21" s="301">
        <v>18</v>
      </c>
      <c r="Q21" s="263"/>
      <c r="R21" s="311" t="s">
        <v>232</v>
      </c>
      <c r="S21" s="311"/>
      <c r="T21" s="311"/>
      <c r="U21" s="311"/>
      <c r="V21" s="311"/>
      <c r="W21" s="311"/>
      <c r="X21" s="311"/>
      <c r="Y21" s="311"/>
      <c r="Z21" s="320"/>
      <c r="AA21" s="320"/>
      <c r="AB21" s="320"/>
      <c r="AC21" s="320"/>
      <c r="AD21" s="320"/>
      <c r="AE21" s="320"/>
      <c r="AF21" s="320"/>
    </row>
    <row r="22" spans="2:32">
      <c r="B22" s="268" t="s">
        <v>233</v>
      </c>
      <c r="C22" s="287"/>
      <c r="D22" s="287"/>
      <c r="E22" s="287"/>
      <c r="F22" s="287"/>
      <c r="G22" s="287"/>
      <c r="H22" s="287"/>
      <c r="I22" s="306">
        <v>6.4</v>
      </c>
      <c r="J22" s="307">
        <v>8.8</v>
      </c>
      <c r="L22" s="293" t="s">
        <v>84</v>
      </c>
      <c r="M22" s="301">
        <v>6.4</v>
      </c>
      <c r="N22" s="301">
        <v>12</v>
      </c>
      <c r="O22" s="298">
        <v>0.1</v>
      </c>
      <c r="P22" s="301">
        <v>12</v>
      </c>
      <c r="Q22" s="263"/>
      <c r="R22" s="311" t="s">
        <v>234</v>
      </c>
      <c r="S22" s="311"/>
      <c r="T22" s="311"/>
      <c r="U22" s="311"/>
      <c r="V22" s="311"/>
      <c r="W22" s="311"/>
      <c r="X22" s="311"/>
      <c r="Y22" s="311"/>
      <c r="Z22" s="320"/>
      <c r="AA22" s="320"/>
      <c r="AB22" s="320"/>
      <c r="AC22" s="320"/>
      <c r="AD22" s="320"/>
      <c r="AE22" s="320"/>
      <c r="AF22" s="320"/>
    </row>
    <row r="23" ht="30.75" customHeight="1"/>
    <row r="24" s="81" customFormat="1" ht="30.75" customHeight="1"/>
    <row r="25" s="81" customFormat="1" ht="30.75" customHeight="1" spans="2:44">
      <c r="B25" s="288" t="s">
        <v>235</v>
      </c>
      <c r="C25" s="289" t="s">
        <v>236</v>
      </c>
      <c r="D25" s="158"/>
      <c r="L25" s="308" t="s">
        <v>176</v>
      </c>
      <c r="M25" s="309" t="s">
        <v>177</v>
      </c>
      <c r="N25" s="309" t="s">
        <v>178</v>
      </c>
      <c r="O25" s="309" t="s">
        <v>179</v>
      </c>
      <c r="P25" s="309" t="s">
        <v>180</v>
      </c>
      <c r="Q25" s="309" t="s">
        <v>181</v>
      </c>
      <c r="R25" s="313" t="s">
        <v>182</v>
      </c>
      <c r="S25" s="314"/>
      <c r="T25" s="314"/>
      <c r="U25" s="314"/>
      <c r="V25" s="314"/>
      <c r="W25" s="314"/>
      <c r="X25" s="314"/>
      <c r="Y25" s="323"/>
      <c r="Z25" s="324" t="s">
        <v>183</v>
      </c>
      <c r="AA25" s="324"/>
      <c r="AB25" s="324"/>
      <c r="AC25" s="324"/>
      <c r="AD25" s="324"/>
      <c r="AE25" s="324"/>
      <c r="AF25" s="324"/>
      <c r="AG25" s="327"/>
      <c r="AH25" s="267"/>
      <c r="AI25" s="267"/>
      <c r="AJ25" s="267"/>
      <c r="AK25" s="267"/>
      <c r="AL25" s="267"/>
      <c r="AM25" s="267"/>
      <c r="AN25" s="267"/>
      <c r="AO25" s="267"/>
      <c r="AP25" s="267"/>
      <c r="AQ25" s="267"/>
      <c r="AR25" s="267"/>
    </row>
    <row r="26" s="81" customFormat="1" ht="30.75" customHeight="1" outlineLevel="1" spans="2:44">
      <c r="B26" s="288" t="s">
        <v>237</v>
      </c>
      <c r="C26" s="79">
        <v>50</v>
      </c>
      <c r="D26" s="158"/>
      <c r="L26" s="458" t="s">
        <v>90</v>
      </c>
      <c r="M26" s="232">
        <v>0</v>
      </c>
      <c r="N26" s="232">
        <v>100</v>
      </c>
      <c r="O26" s="233">
        <v>1</v>
      </c>
      <c r="P26" s="232">
        <v>10</v>
      </c>
      <c r="Q26" s="315" t="s">
        <v>237</v>
      </c>
      <c r="R26" s="316" t="s">
        <v>238</v>
      </c>
      <c r="S26" s="317"/>
      <c r="T26" s="317"/>
      <c r="U26" s="317"/>
      <c r="V26" s="317"/>
      <c r="W26" s="317"/>
      <c r="X26" s="317"/>
      <c r="Y26" s="325"/>
      <c r="Z26" s="326" t="s">
        <v>218</v>
      </c>
      <c r="AA26" s="326"/>
      <c r="AB26" s="326"/>
      <c r="AC26" s="326"/>
      <c r="AD26" s="326"/>
      <c r="AE26" s="326"/>
      <c r="AF26" s="326"/>
      <c r="AG26" s="328"/>
      <c r="AH26" s="329" t="s">
        <v>239</v>
      </c>
      <c r="AI26" s="267"/>
      <c r="AJ26" s="267"/>
      <c r="AK26" s="267"/>
      <c r="AL26" s="267"/>
      <c r="AM26" s="267"/>
      <c r="AN26" s="267" t="s">
        <v>240</v>
      </c>
      <c r="AO26" s="267"/>
      <c r="AP26" s="267"/>
      <c r="AQ26" s="267"/>
      <c r="AR26" s="267"/>
    </row>
    <row r="27" s="81" customFormat="1" ht="30.75" customHeight="1" outlineLevel="1" spans="2:44">
      <c r="B27" s="288" t="s">
        <v>241</v>
      </c>
      <c r="C27" s="79">
        <v>70</v>
      </c>
      <c r="D27" s="158"/>
      <c r="L27" s="458" t="s">
        <v>90</v>
      </c>
      <c r="M27" s="232">
        <v>0</v>
      </c>
      <c r="N27" s="232">
        <v>100</v>
      </c>
      <c r="O27" s="233">
        <v>1</v>
      </c>
      <c r="P27" s="232">
        <v>10</v>
      </c>
      <c r="Q27" s="315" t="s">
        <v>241</v>
      </c>
      <c r="R27" s="316" t="s">
        <v>242</v>
      </c>
      <c r="S27" s="317"/>
      <c r="T27" s="317"/>
      <c r="U27" s="317"/>
      <c r="V27" s="317"/>
      <c r="W27" s="317"/>
      <c r="X27" s="317"/>
      <c r="Y27" s="325"/>
      <c r="Z27" s="326" t="s">
        <v>218</v>
      </c>
      <c r="AA27" s="326"/>
      <c r="AB27" s="326"/>
      <c r="AC27" s="326"/>
      <c r="AD27" s="326"/>
      <c r="AE27" s="326"/>
      <c r="AF27" s="326"/>
      <c r="AG27" s="328"/>
      <c r="AH27" s="329" t="s">
        <v>243</v>
      </c>
      <c r="AI27" s="267"/>
      <c r="AJ27" s="267"/>
      <c r="AK27" s="267"/>
      <c r="AL27" s="267"/>
      <c r="AM27" s="267"/>
      <c r="AN27" s="267" t="s">
        <v>240</v>
      </c>
      <c r="AO27" s="267"/>
      <c r="AP27" s="267"/>
      <c r="AQ27" s="267"/>
      <c r="AR27" s="267" t="s">
        <v>244</v>
      </c>
    </row>
    <row r="28" s="81" customFormat="1" ht="30.75" customHeight="1" outlineLevel="1" spans="2:44">
      <c r="B28" s="288" t="s">
        <v>245</v>
      </c>
      <c r="C28" s="79">
        <v>5</v>
      </c>
      <c r="D28" s="158"/>
      <c r="L28" s="458" t="s">
        <v>203</v>
      </c>
      <c r="M28" s="232">
        <v>0</v>
      </c>
      <c r="N28" s="232">
        <v>9</v>
      </c>
      <c r="O28" s="233">
        <v>1</v>
      </c>
      <c r="P28" s="232">
        <v>5</v>
      </c>
      <c r="Q28" s="315" t="s">
        <v>245</v>
      </c>
      <c r="R28" s="316" t="s">
        <v>246</v>
      </c>
      <c r="S28" s="317"/>
      <c r="T28" s="317"/>
      <c r="U28" s="317"/>
      <c r="V28" s="317"/>
      <c r="W28" s="317"/>
      <c r="X28" s="317"/>
      <c r="Y28" s="325"/>
      <c r="Z28" s="315"/>
      <c r="AA28" s="315"/>
      <c r="AB28" s="315"/>
      <c r="AC28" s="315"/>
      <c r="AD28" s="315"/>
      <c r="AE28" s="315"/>
      <c r="AF28" s="315"/>
      <c r="AG28" s="330"/>
      <c r="AH28" s="329" t="s">
        <v>247</v>
      </c>
      <c r="AI28" s="267"/>
      <c r="AJ28" s="267"/>
      <c r="AK28" s="267"/>
      <c r="AL28" s="267"/>
      <c r="AM28" s="267"/>
      <c r="AN28" s="267"/>
      <c r="AO28" s="267"/>
      <c r="AP28" s="267"/>
      <c r="AQ28" s="267"/>
      <c r="AR28" s="267"/>
    </row>
    <row r="29" spans="19:19">
      <c r="S29" s="267" t="s">
        <v>248</v>
      </c>
    </row>
  </sheetData>
  <protectedRanges>
    <protectedRange sqref="I18:J22" name="区域3"/>
    <protectedRange sqref="I3:J3" name="区域2"/>
    <protectedRange sqref="C3:H17" name="区域1"/>
  </protectedRanges>
  <mergeCells count="43">
    <mergeCell ref="R2:Y2"/>
    <mergeCell ref="Z2:AF2"/>
    <mergeCell ref="R3:Y3"/>
    <mergeCell ref="Z3:AF3"/>
    <mergeCell ref="R4:Y4"/>
    <mergeCell ref="Z4:AF4"/>
    <mergeCell ref="R5:Y5"/>
    <mergeCell ref="Z5:AF5"/>
    <mergeCell ref="R6:Y6"/>
    <mergeCell ref="Z6:AF6"/>
    <mergeCell ref="R7:Y7"/>
    <mergeCell ref="Z7:AF7"/>
    <mergeCell ref="R8:Y8"/>
    <mergeCell ref="Z8:AF8"/>
    <mergeCell ref="R9:Y9"/>
    <mergeCell ref="Z9:AF9"/>
    <mergeCell ref="R10:Y10"/>
    <mergeCell ref="Z10:AF10"/>
    <mergeCell ref="R11:Y11"/>
    <mergeCell ref="Z11:AF11"/>
    <mergeCell ref="R12:Y12"/>
    <mergeCell ref="Z12:AF12"/>
    <mergeCell ref="R13:Y13"/>
    <mergeCell ref="Z13:AF13"/>
    <mergeCell ref="R14:Y14"/>
    <mergeCell ref="Z14:AF14"/>
    <mergeCell ref="R15:Y15"/>
    <mergeCell ref="Z15:AF15"/>
    <mergeCell ref="R16:Y16"/>
    <mergeCell ref="Z16:AF16"/>
    <mergeCell ref="R17:Y17"/>
    <mergeCell ref="Z17:AF17"/>
    <mergeCell ref="R18:Y18"/>
    <mergeCell ref="Z18:AF18"/>
    <mergeCell ref="R19:Y19"/>
    <mergeCell ref="Z19:AF19"/>
    <mergeCell ref="R20:Y20"/>
    <mergeCell ref="Z20:AF20"/>
    <mergeCell ref="R21:Y21"/>
    <mergeCell ref="Z21:AF21"/>
    <mergeCell ref="R22:Y22"/>
    <mergeCell ref="Z22:AF22"/>
    <mergeCell ref="A10:A17"/>
  </mergeCells>
  <conditionalFormatting sqref="D2">
    <cfRule type="cellIs" dxfId="2" priority="3" operator="equal">
      <formula>"x"</formula>
    </cfRule>
  </conditionalFormatting>
  <conditionalFormatting sqref="G7">
    <cfRule type="expression" dxfId="3" priority="1">
      <formula>$H$3="disabled"</formula>
    </cfRule>
  </conditionalFormatting>
  <conditionalFormatting sqref="C3:C17">
    <cfRule type="expression" dxfId="3" priority="32">
      <formula>$C$3="disabled"</formula>
    </cfRule>
  </conditionalFormatting>
  <conditionalFormatting sqref="D3:D17">
    <cfRule type="expression" dxfId="3" priority="33">
      <formula>$D$3="disabled"</formula>
    </cfRule>
  </conditionalFormatting>
  <conditionalFormatting sqref="E3:E17">
    <cfRule type="expression" dxfId="3" priority="12">
      <formula>$E$3="disabled"</formula>
    </cfRule>
  </conditionalFormatting>
  <conditionalFormatting sqref="F3:F17">
    <cfRule type="expression" dxfId="3" priority="11">
      <formula>$F$3="disabled"</formula>
    </cfRule>
  </conditionalFormatting>
  <conditionalFormatting sqref="H3:H17">
    <cfRule type="expression" dxfId="3" priority="9">
      <formula>$H$3="disabled"</formula>
    </cfRule>
  </conditionalFormatting>
  <conditionalFormatting sqref="C2 E2:H2">
    <cfRule type="cellIs" dxfId="2" priority="31" operator="equal">
      <formula>"x"</formula>
    </cfRule>
  </conditionalFormatting>
  <conditionalFormatting sqref="G3:G6 G8:G17">
    <cfRule type="expression" dxfId="3" priority="10">
      <formula>$G$3="disabled"</formula>
    </cfRule>
  </conditionalFormatting>
  <conditionalFormatting sqref="I18:I22 I3">
    <cfRule type="expression" dxfId="3" priority="8">
      <formula>$I$3="disabled"</formula>
    </cfRule>
  </conditionalFormatting>
  <conditionalFormatting sqref="J18:J22 J3">
    <cfRule type="expression" dxfId="3" priority="7">
      <formula>$J$3="disabled"</formula>
    </cfRule>
  </conditionalFormatting>
  <dataValidations count="22">
    <dataValidation type="list" showInputMessage="1" showErrorMessage="1" error="Invalid value!" sqref="C3:J3">
      <formula1>data!$R$1:$R$2</formula1>
    </dataValidation>
    <dataValidation type="list" allowBlank="1" showInputMessage="1" showErrorMessage="1" sqref="I18:J18">
      <formula1>"0,1"</formula1>
    </dataValidation>
    <dataValidation type="decimal" operator="between" allowBlank="1" showInputMessage="1" showErrorMessage="1" sqref="C4">
      <formula1>M4</formula1>
      <formula2>N4</formula2>
    </dataValidation>
    <dataValidation type="custom" allowBlank="1" showInputMessage="1" showErrorMessage="1" error="Invalid value or incorrect plausibility!&#10;&#10;pLedDerTemp1#n+10 ≤ pLedDerTemp2#n" sqref="C10:D10">
      <formula1>AND(C10=INT(C10),C10&gt;=$M$10,C10&lt;=$N$10,C10+10&lt;=C11)</formula1>
    </dataValidation>
    <dataValidation allowBlank="1" showInputMessage="1" showErrorMessage="1" error="Invalid value!" sqref="C9:D9"/>
    <dataValidation type="custom" showInputMessage="1" showErrorMessage="1" error="Invalid value or incorrect plausibility!&#10;&#10;pLedMinCurrent#n ≤ pLedNomCurrent#n ≤ pLedMaxCurrent#n" sqref="C6:H6">
      <formula1>AND(C6=INT(C6),C6&gt;=C7,C6&lt;=C8)</formula1>
    </dataValidation>
    <dataValidation type="custom" allowBlank="1" showInputMessage="1" showErrorMessage="1" error="Invalid value or incorrect plausibility!&#10;&#10;pLedDerTemp3#n+10 ≤ pLedDerTemp4#n&#10;pLedDerTemp4#n+10 ≤ pLedDerTemp5#n" sqref="C13:H13">
      <formula1>AND(C13=INT(C13),C13&gt;=$M13,C13&lt;=$N13,C12+10&lt;=C13,C13+10&lt;=C14)</formula1>
    </dataValidation>
    <dataValidation type="decimal" operator="between" allowBlank="1" showInputMessage="1" showErrorMessage="1" sqref="D4">
      <formula1>M5</formula1>
      <formula2>N5</formula2>
    </dataValidation>
    <dataValidation type="custom" showInputMessage="1" showErrorMessage="1" error="Invalid value!" sqref="C5:H5">
      <formula1>AND(C5*10=INT(C5*10),C5&gt;=$M5,C5&lt;=$N5)</formula1>
    </dataValidation>
    <dataValidation type="custom" showInputMessage="1" showErrorMessage="1" error="Invalid value or incorrect plausibility!&#10;&#10;pLedMinCurrent#n ≤ pLedNomCurrent#n" sqref="C7:H7">
      <formula1>AND(C7=INT(C7),C7&lt;=C6,C7&lt;=C8)</formula1>
    </dataValidation>
    <dataValidation type="custom" showInputMessage="1" showErrorMessage="1" error="Invalid value or incorrect plausibility!&#10;&#10;pLedMinCurrent#n ≤ pLedNomCurrent#n ≤ pLedMaxCurrent#n" sqref="C8:H8">
      <formula1>AND(C8=INT(C8),C8&gt;=C6,C8&gt;=C7)</formula1>
    </dataValidation>
    <dataValidation type="whole" operator="between" allowBlank="1" showInputMessage="1" showErrorMessage="1" error="Invalid value!" sqref="E9">
      <formula1>M9</formula1>
      <formula2>N9</formula2>
    </dataValidation>
    <dataValidation type="custom" allowBlank="1" showInputMessage="1" showErrorMessage="1" error="Invalid value or incorrect plausibility!&#10;&#10;pLedDerTemp1#n+10 ≤ pLedDerTemp2#n" sqref="E10:H10">
      <formula1>AND(E10=INT(E10),E10&gt;=$M10,E10&lt;=$N10,E10+10&lt;=E11)</formula1>
    </dataValidation>
    <dataValidation type="custom" allowBlank="1" showInputMessage="1" showErrorMessage="1" error="Invalid value or incorrect plausibility!&#10;&#10;pLedDerTemp1#n+10 ≤ pLedDerTemp2#n&#10;pLedDerTemp2#n+20 ≤ pLedDerTemp3#n" sqref="C11:H11">
      <formula1>AND(C11=INT(C11),C11&gt;=$M11,C11&lt;=$N11,C11+20&lt;=C12)</formula1>
    </dataValidation>
    <dataValidation type="custom" allowBlank="1" showInputMessage="1" showErrorMessage="1" error="Invalid value or incorrect plausibility!&#10;&#10;pLedDerTemp2#n+20 ≤ pLedDerTemp3#n&#10;pLedDerTemp3#n+10 ≤ pLedDerTemp4#n" sqref="C12:H12">
      <formula1>AND(C12=INT(C12),C12&gt;=$M12,C12&lt;=$N12,C11+20&lt;=C12,C12+10&lt;=C13)</formula1>
    </dataValidation>
    <dataValidation type="custom" allowBlank="1" showInputMessage="1" showErrorMessage="1" error="Invalid value or incorrect plausibility!&#10;&#10;pLedDerTemp4#n+10 ≤ pLedDerTemp5#n" sqref="C14:H14">
      <formula1>AND(C14=INT(C14),C14&gt;=$M14,C14&lt;=$N14,C13+10&lt;=C14)</formula1>
    </dataValidation>
    <dataValidation type="whole" operator="between" allowBlank="1" showInputMessage="1" showErrorMessage="1" sqref="C26:C28">
      <formula1>M26</formula1>
      <formula2>N26</formula2>
    </dataValidation>
    <dataValidation type="list" allowBlank="1" showInputMessage="1" showErrorMessage="1" sqref="L3:L22 L26:L28">
      <formula1>list_Unit</formula1>
    </dataValidation>
    <dataValidation type="whole" operator="between" allowBlank="1" showInputMessage="1" showErrorMessage="1" sqref="P4:P9 P18:P22">
      <formula1>M4</formula1>
      <formula2>N4</formula2>
    </dataValidation>
    <dataValidation type="whole" operator="between" allowBlank="1" showInputMessage="1" showErrorMessage="1" sqref="I19:J20">
      <formula1>$M19</formula1>
      <formula2>$N19</formula2>
    </dataValidation>
    <dataValidation type="decimal" operator="between" allowBlank="1" showInputMessage="1" showErrorMessage="1" sqref="I21:J22">
      <formula1>$M21</formula1>
      <formula2>$N21</formula2>
    </dataValidation>
    <dataValidation type="custom" allowBlank="1" showInputMessage="1" showErrorMessage="1" error="Invalid value!" sqref="C15:H17">
      <formula1>AND(C15*10=INT(C15*10),C15&gt;=$M15,C15&lt;=$N15)</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2:AF171"/>
  <sheetViews>
    <sheetView showGridLines="0" workbookViewId="0">
      <selection activeCell="F2" sqref="F2"/>
    </sheetView>
  </sheetViews>
  <sheetFormatPr defaultColWidth="9" defaultRowHeight="16.5"/>
  <cols>
    <col min="1" max="1" width="4.125" style="66" customWidth="1"/>
    <col min="2" max="2" width="15.375" style="247" customWidth="1"/>
    <col min="3" max="3" width="10" style="247" customWidth="1"/>
    <col min="4" max="9" width="13.375" style="247" customWidth="1"/>
    <col min="10" max="10" width="23.375" style="247" customWidth="1"/>
    <col min="11" max="12" width="9" style="66"/>
    <col min="13" max="14" width="11" style="66" customWidth="1"/>
    <col min="15" max="15" width="13.375" style="66" customWidth="1"/>
    <col min="16" max="16" width="9" style="200"/>
    <col min="17" max="17" width="37.125" style="66" customWidth="1"/>
    <col min="18" max="24" width="9" style="66"/>
    <col min="25" max="25" width="73" style="66" customWidth="1"/>
    <col min="26" max="16384" width="9" style="66"/>
  </cols>
  <sheetData>
    <row r="2" spans="2:32">
      <c r="B2" s="74" t="s">
        <v>249</v>
      </c>
      <c r="C2" s="74"/>
      <c r="D2" s="74" t="s">
        <v>250</v>
      </c>
      <c r="E2" s="74" t="s">
        <v>251</v>
      </c>
      <c r="F2" s="74" t="s">
        <v>252</v>
      </c>
      <c r="G2" s="74" t="s">
        <v>253</v>
      </c>
      <c r="H2" s="74" t="s">
        <v>254</v>
      </c>
      <c r="I2" s="74" t="s">
        <v>255</v>
      </c>
      <c r="K2" s="176" t="s">
        <v>176</v>
      </c>
      <c r="L2" s="70" t="s">
        <v>177</v>
      </c>
      <c r="M2" s="70" t="s">
        <v>178</v>
      </c>
      <c r="N2" s="70" t="s">
        <v>179</v>
      </c>
      <c r="O2" s="70" t="s">
        <v>180</v>
      </c>
      <c r="P2" s="70" t="s">
        <v>181</v>
      </c>
      <c r="Q2" s="70"/>
      <c r="R2" s="70" t="s">
        <v>182</v>
      </c>
      <c r="S2" s="70"/>
      <c r="T2" s="70"/>
      <c r="U2" s="70"/>
      <c r="V2" s="70"/>
      <c r="W2" s="70"/>
      <c r="X2" s="70"/>
      <c r="Y2" s="70"/>
      <c r="Z2" s="262" t="s">
        <v>183</v>
      </c>
      <c r="AA2" s="262"/>
      <c r="AB2" s="262"/>
      <c r="AC2" s="262"/>
      <c r="AD2" s="262"/>
      <c r="AE2" s="262"/>
      <c r="AF2" s="262"/>
    </row>
    <row r="3" ht="18" customHeight="1" spans="2:32">
      <c r="B3" s="74" t="s">
        <v>256</v>
      </c>
      <c r="C3" s="74"/>
      <c r="D3" s="248" t="s">
        <v>257</v>
      </c>
      <c r="E3" s="85" t="s">
        <v>258</v>
      </c>
      <c r="F3" s="248" t="s">
        <v>257</v>
      </c>
      <c r="G3" s="167" t="s">
        <v>258</v>
      </c>
      <c r="H3" s="248" t="s">
        <v>257</v>
      </c>
      <c r="I3" s="261" t="s">
        <v>258</v>
      </c>
      <c r="K3" s="459" t="s">
        <v>91</v>
      </c>
      <c r="L3" s="232">
        <v>0</v>
      </c>
      <c r="M3" s="232">
        <v>5</v>
      </c>
      <c r="N3" s="233">
        <v>1</v>
      </c>
      <c r="O3" s="232">
        <v>0</v>
      </c>
      <c r="P3" s="234"/>
      <c r="Q3" s="234"/>
      <c r="R3" s="234" t="s">
        <v>259</v>
      </c>
      <c r="S3" s="234"/>
      <c r="T3" s="234"/>
      <c r="U3" s="234"/>
      <c r="V3" s="234"/>
      <c r="W3" s="234"/>
      <c r="X3" s="234"/>
      <c r="Y3" s="234"/>
      <c r="Z3" s="263"/>
      <c r="AA3" s="263"/>
      <c r="AB3" s="263"/>
      <c r="AC3" s="263"/>
      <c r="AD3" s="263"/>
      <c r="AE3" s="263"/>
      <c r="AF3" s="263"/>
    </row>
    <row r="4" ht="18" customHeight="1" spans="2:32">
      <c r="B4" s="71" t="s">
        <v>260</v>
      </c>
      <c r="C4" s="90"/>
      <c r="D4" s="248">
        <v>120</v>
      </c>
      <c r="E4" s="85">
        <v>125</v>
      </c>
      <c r="F4" s="248">
        <v>115</v>
      </c>
      <c r="G4" s="85">
        <v>125</v>
      </c>
      <c r="H4" s="248">
        <v>113</v>
      </c>
      <c r="I4" s="261">
        <v>115</v>
      </c>
      <c r="K4" s="459" t="s">
        <v>91</v>
      </c>
      <c r="L4" s="232">
        <v>-50</v>
      </c>
      <c r="M4" s="232">
        <v>150</v>
      </c>
      <c r="N4" s="233">
        <v>1</v>
      </c>
      <c r="O4" s="232">
        <v>150</v>
      </c>
      <c r="P4" s="234"/>
      <c r="Q4" s="234"/>
      <c r="R4" s="234" t="s">
        <v>261</v>
      </c>
      <c r="S4" s="234"/>
      <c r="T4" s="234"/>
      <c r="U4" s="234"/>
      <c r="V4" s="234"/>
      <c r="W4" s="234"/>
      <c r="X4" s="234"/>
      <c r="Y4" s="234"/>
      <c r="Z4" s="263"/>
      <c r="AA4" s="263"/>
      <c r="AB4" s="263"/>
      <c r="AC4" s="263"/>
      <c r="AD4" s="263"/>
      <c r="AE4" s="263"/>
      <c r="AF4" s="263"/>
    </row>
    <row r="5" ht="18" customHeight="1" spans="17:17">
      <c r="Q5" s="200"/>
    </row>
    <row r="6" ht="18" customHeight="1" spans="2:32">
      <c r="B6" s="74" t="s">
        <v>262</v>
      </c>
      <c r="C6" s="74"/>
      <c r="D6" s="223" t="s">
        <v>126</v>
      </c>
      <c r="E6" s="223" t="s">
        <v>127</v>
      </c>
      <c r="F6" s="223" t="s">
        <v>128</v>
      </c>
      <c r="G6" s="223" t="s">
        <v>129</v>
      </c>
      <c r="H6" s="223" t="s">
        <v>130</v>
      </c>
      <c r="I6" s="224" t="s">
        <v>131</v>
      </c>
      <c r="K6" s="176" t="s">
        <v>176</v>
      </c>
      <c r="L6" s="70" t="s">
        <v>177</v>
      </c>
      <c r="M6" s="70" t="s">
        <v>178</v>
      </c>
      <c r="N6" s="70" t="s">
        <v>179</v>
      </c>
      <c r="O6" s="70" t="s">
        <v>180</v>
      </c>
      <c r="P6" s="70" t="s">
        <v>181</v>
      </c>
      <c r="Q6" s="70"/>
      <c r="R6" s="70" t="s">
        <v>182</v>
      </c>
      <c r="S6" s="70"/>
      <c r="T6" s="70"/>
      <c r="U6" s="70"/>
      <c r="V6" s="70"/>
      <c r="W6" s="70"/>
      <c r="X6" s="70"/>
      <c r="Y6" s="70"/>
      <c r="Z6" s="262" t="s">
        <v>183</v>
      </c>
      <c r="AA6" s="262"/>
      <c r="AB6" s="262"/>
      <c r="AC6" s="262"/>
      <c r="AD6" s="262"/>
      <c r="AE6" s="262"/>
      <c r="AF6" s="262"/>
    </row>
    <row r="7" ht="18" customHeight="1" spans="2:32">
      <c r="B7" s="74" t="s">
        <v>263</v>
      </c>
      <c r="C7" s="74"/>
      <c r="D7" s="248">
        <v>1</v>
      </c>
      <c r="E7" s="248">
        <v>1</v>
      </c>
      <c r="F7" s="248">
        <v>5</v>
      </c>
      <c r="G7" s="248">
        <v>3</v>
      </c>
      <c r="H7" s="248">
        <v>5</v>
      </c>
      <c r="I7" s="248">
        <v>5</v>
      </c>
      <c r="K7" s="459" t="s">
        <v>91</v>
      </c>
      <c r="L7" s="232">
        <f>[5]Lists!$V$2</f>
        <v>0</v>
      </c>
      <c r="M7" s="238">
        <v>6</v>
      </c>
      <c r="N7" s="239">
        <v>1</v>
      </c>
      <c r="O7" s="232">
        <v>0</v>
      </c>
      <c r="P7" s="234" t="s">
        <v>264</v>
      </c>
      <c r="Q7" s="234"/>
      <c r="R7" s="234" t="s">
        <v>265</v>
      </c>
      <c r="S7" s="234"/>
      <c r="T7" s="234"/>
      <c r="U7" s="234"/>
      <c r="V7" s="234"/>
      <c r="W7" s="234"/>
      <c r="X7" s="234"/>
      <c r="Y7" s="234"/>
      <c r="Z7" s="263"/>
      <c r="AA7" s="263"/>
      <c r="AB7" s="263"/>
      <c r="AC7" s="263"/>
      <c r="AD7" s="263"/>
      <c r="AE7" s="263"/>
      <c r="AF7" s="263"/>
    </row>
    <row r="8" spans="4:16">
      <c r="D8" s="249"/>
      <c r="P8" s="66"/>
    </row>
    <row r="10" spans="2:8">
      <c r="B10" s="71" t="s">
        <v>266</v>
      </c>
      <c r="C10" s="250"/>
      <c r="D10" s="250"/>
      <c r="E10" s="250"/>
      <c r="F10" s="251"/>
      <c r="G10" s="252"/>
      <c r="H10" s="252"/>
    </row>
    <row r="11" spans="2:32">
      <c r="B11" s="74" t="s">
        <v>267</v>
      </c>
      <c r="C11" s="74"/>
      <c r="D11" s="70" t="s">
        <v>268</v>
      </c>
      <c r="E11" s="253" t="s">
        <v>269</v>
      </c>
      <c r="F11" s="251"/>
      <c r="G11" s="252"/>
      <c r="H11" s="163"/>
      <c r="K11" s="176" t="s">
        <v>176</v>
      </c>
      <c r="L11" s="70" t="s">
        <v>177</v>
      </c>
      <c r="M11" s="70" t="s">
        <v>178</v>
      </c>
      <c r="N11" s="70" t="s">
        <v>179</v>
      </c>
      <c r="O11" s="70" t="s">
        <v>180</v>
      </c>
      <c r="P11" s="70" t="s">
        <v>181</v>
      </c>
      <c r="Q11" s="70"/>
      <c r="R11" s="70" t="s">
        <v>182</v>
      </c>
      <c r="S11" s="70"/>
      <c r="T11" s="70"/>
      <c r="U11" s="70"/>
      <c r="V11" s="70"/>
      <c r="W11" s="70"/>
      <c r="X11" s="70"/>
      <c r="Y11" s="70"/>
      <c r="Z11" s="262" t="s">
        <v>183</v>
      </c>
      <c r="AA11" s="262"/>
      <c r="AB11" s="262"/>
      <c r="AC11" s="262"/>
      <c r="AD11" s="262"/>
      <c r="AE11" s="262"/>
      <c r="AF11" s="262"/>
    </row>
    <row r="12" spans="2:32">
      <c r="B12" s="254" t="s">
        <v>270</v>
      </c>
      <c r="C12" s="460" t="s">
        <v>271</v>
      </c>
      <c r="D12" s="256">
        <v>316336000</v>
      </c>
      <c r="E12" s="257">
        <v>316336000</v>
      </c>
      <c r="F12" s="258"/>
      <c r="G12" s="165"/>
      <c r="H12" s="165"/>
      <c r="K12" s="459" t="s">
        <v>86</v>
      </c>
      <c r="L12" s="232">
        <v>150000</v>
      </c>
      <c r="M12" s="232">
        <v>500000000</v>
      </c>
      <c r="N12" s="233">
        <v>1</v>
      </c>
      <c r="O12" s="232">
        <v>300000000</v>
      </c>
      <c r="P12" s="234" t="s">
        <v>272</v>
      </c>
      <c r="Q12" s="234"/>
      <c r="R12" s="234" t="s">
        <v>273</v>
      </c>
      <c r="S12" s="234"/>
      <c r="T12" s="234"/>
      <c r="U12" s="234"/>
      <c r="V12" s="234"/>
      <c r="W12" s="234"/>
      <c r="X12" s="234"/>
      <c r="Y12" s="234"/>
      <c r="Z12" s="102"/>
      <c r="AA12" s="102"/>
      <c r="AB12" s="102"/>
      <c r="AC12" s="102"/>
      <c r="AD12" s="102"/>
      <c r="AE12" s="102"/>
      <c r="AF12" s="102"/>
    </row>
    <row r="13" spans="2:32">
      <c r="B13" s="259" t="s">
        <v>270</v>
      </c>
      <c r="C13" s="260" t="s">
        <v>274</v>
      </c>
      <c r="D13" s="256">
        <v>299862000</v>
      </c>
      <c r="E13" s="257">
        <v>299862000</v>
      </c>
      <c r="F13" s="258"/>
      <c r="G13" s="165"/>
      <c r="H13" s="165"/>
      <c r="K13" s="459" t="s">
        <v>91</v>
      </c>
      <c r="L13" s="232">
        <v>0</v>
      </c>
      <c r="M13" s="232">
        <v>255</v>
      </c>
      <c r="N13" s="233">
        <v>1</v>
      </c>
      <c r="O13" s="232">
        <v>0</v>
      </c>
      <c r="P13" s="234" t="s">
        <v>275</v>
      </c>
      <c r="Q13" s="234"/>
      <c r="R13" s="234" t="s">
        <v>276</v>
      </c>
      <c r="S13" s="234"/>
      <c r="T13" s="234"/>
      <c r="U13" s="234"/>
      <c r="V13" s="234"/>
      <c r="W13" s="234"/>
      <c r="X13" s="234"/>
      <c r="Y13" s="234"/>
      <c r="Z13" s="264"/>
      <c r="AA13" s="264"/>
      <c r="AB13" s="264"/>
      <c r="AC13" s="264"/>
      <c r="AD13" s="264"/>
      <c r="AE13" s="264"/>
      <c r="AF13" s="264"/>
    </row>
    <row r="14" spans="2:32">
      <c r="B14" s="259" t="s">
        <v>270</v>
      </c>
      <c r="C14" s="260" t="s">
        <v>277</v>
      </c>
      <c r="D14" s="256">
        <v>283388000</v>
      </c>
      <c r="E14" s="257">
        <v>283388000</v>
      </c>
      <c r="F14" s="258"/>
      <c r="G14" s="165"/>
      <c r="H14" s="165"/>
      <c r="K14" s="459" t="s">
        <v>203</v>
      </c>
      <c r="L14" s="232">
        <v>-50</v>
      </c>
      <c r="M14" s="232">
        <v>150</v>
      </c>
      <c r="N14" s="233">
        <v>1</v>
      </c>
      <c r="O14" s="232">
        <v>0</v>
      </c>
      <c r="P14" s="234" t="s">
        <v>278</v>
      </c>
      <c r="Q14" s="234"/>
      <c r="R14" s="234" t="s">
        <v>279</v>
      </c>
      <c r="S14" s="234"/>
      <c r="T14" s="234"/>
      <c r="U14" s="234"/>
      <c r="V14" s="234"/>
      <c r="W14" s="234"/>
      <c r="X14" s="234"/>
      <c r="Y14" s="234"/>
      <c r="Z14" s="264"/>
      <c r="AA14" s="264"/>
      <c r="AB14" s="264"/>
      <c r="AC14" s="264"/>
      <c r="AD14" s="264"/>
      <c r="AE14" s="264"/>
      <c r="AF14" s="264"/>
    </row>
    <row r="15" spans="2:32">
      <c r="B15" s="259" t="s">
        <v>280</v>
      </c>
      <c r="C15" s="260" t="s">
        <v>281</v>
      </c>
      <c r="D15" s="256">
        <v>266914000</v>
      </c>
      <c r="E15" s="257">
        <v>266914000</v>
      </c>
      <c r="F15" s="258"/>
      <c r="G15" s="165"/>
      <c r="H15" s="165"/>
      <c r="K15" s="459" t="s">
        <v>203</v>
      </c>
      <c r="L15" s="232">
        <v>-50</v>
      </c>
      <c r="M15" s="232">
        <v>150</v>
      </c>
      <c r="N15" s="233">
        <v>1</v>
      </c>
      <c r="O15" s="232">
        <v>0</v>
      </c>
      <c r="P15" s="234" t="s">
        <v>282</v>
      </c>
      <c r="Q15" s="234"/>
      <c r="R15" s="234" t="s">
        <v>283</v>
      </c>
      <c r="S15" s="234"/>
      <c r="T15" s="234"/>
      <c r="U15" s="234"/>
      <c r="V15" s="234"/>
      <c r="W15" s="234"/>
      <c r="X15" s="234"/>
      <c r="Y15" s="234"/>
      <c r="Z15" s="264"/>
      <c r="AA15" s="264"/>
      <c r="AB15" s="264"/>
      <c r="AC15" s="264"/>
      <c r="AD15" s="264"/>
      <c r="AE15" s="264"/>
      <c r="AF15" s="264"/>
    </row>
    <row r="16" spans="2:8">
      <c r="B16" s="259" t="s">
        <v>280</v>
      </c>
      <c r="C16" s="260" t="s">
        <v>284</v>
      </c>
      <c r="D16" s="256">
        <v>250440000</v>
      </c>
      <c r="E16" s="257">
        <v>250440000</v>
      </c>
      <c r="F16" s="258"/>
      <c r="G16" s="165"/>
      <c r="H16" s="165"/>
    </row>
    <row r="17" spans="2:8">
      <c r="B17" s="259" t="s">
        <v>280</v>
      </c>
      <c r="C17" s="260" t="s">
        <v>285</v>
      </c>
      <c r="D17" s="256">
        <v>238358000</v>
      </c>
      <c r="E17" s="257">
        <v>238358000</v>
      </c>
      <c r="F17" s="258"/>
      <c r="G17" s="165"/>
      <c r="H17" s="165"/>
    </row>
    <row r="18" spans="2:8">
      <c r="B18" s="259" t="s">
        <v>280</v>
      </c>
      <c r="C18" s="260" t="s">
        <v>286</v>
      </c>
      <c r="D18" s="256">
        <v>226276000</v>
      </c>
      <c r="E18" s="257">
        <v>226276000</v>
      </c>
      <c r="F18" s="258"/>
      <c r="G18" s="165"/>
      <c r="H18" s="165"/>
    </row>
    <row r="19" spans="2:8">
      <c r="B19" s="259" t="s">
        <v>280</v>
      </c>
      <c r="C19" s="260" t="s">
        <v>287</v>
      </c>
      <c r="D19" s="256">
        <v>214194000</v>
      </c>
      <c r="E19" s="257">
        <v>214194000</v>
      </c>
      <c r="F19" s="258"/>
      <c r="G19" s="165"/>
      <c r="H19" s="165"/>
    </row>
    <row r="20" spans="2:8">
      <c r="B20" s="259" t="s">
        <v>280</v>
      </c>
      <c r="C20" s="260" t="s">
        <v>288</v>
      </c>
      <c r="D20" s="256">
        <v>202112000</v>
      </c>
      <c r="E20" s="257">
        <v>202112000</v>
      </c>
      <c r="F20" s="258"/>
      <c r="G20" s="165"/>
      <c r="H20" s="165"/>
    </row>
    <row r="21" spans="2:8">
      <c r="B21" s="259" t="s">
        <v>280</v>
      </c>
      <c r="C21" s="461" t="s">
        <v>289</v>
      </c>
      <c r="D21" s="256">
        <v>190030000</v>
      </c>
      <c r="E21" s="257">
        <v>190030000</v>
      </c>
      <c r="F21" s="258"/>
      <c r="G21" s="165"/>
      <c r="H21" s="165"/>
    </row>
    <row r="22" spans="2:8">
      <c r="B22" s="259" t="s">
        <v>280</v>
      </c>
      <c r="C22" s="260" t="s">
        <v>290</v>
      </c>
      <c r="D22" s="256">
        <v>180000000</v>
      </c>
      <c r="E22" s="257">
        <v>181096000</v>
      </c>
      <c r="F22" s="258"/>
      <c r="G22" s="165"/>
      <c r="H22" s="165"/>
    </row>
    <row r="23" spans="2:8">
      <c r="B23" s="259" t="s">
        <v>280</v>
      </c>
      <c r="C23" s="260" t="s">
        <v>291</v>
      </c>
      <c r="D23" s="256">
        <v>170550000</v>
      </c>
      <c r="E23" s="257">
        <v>172162000</v>
      </c>
      <c r="F23" s="258"/>
      <c r="G23" s="165"/>
      <c r="H23" s="165"/>
    </row>
    <row r="24" spans="2:8">
      <c r="B24" s="259" t="s">
        <v>280</v>
      </c>
      <c r="C24" s="260" t="s">
        <v>292</v>
      </c>
      <c r="D24" s="256">
        <v>161650000</v>
      </c>
      <c r="E24" s="257">
        <v>163228000</v>
      </c>
      <c r="F24" s="258"/>
      <c r="G24" s="165"/>
      <c r="H24" s="165"/>
    </row>
    <row r="25" spans="2:8">
      <c r="B25" s="259" t="s">
        <v>280</v>
      </c>
      <c r="C25" s="260" t="s">
        <v>293</v>
      </c>
      <c r="D25" s="256">
        <v>153260000</v>
      </c>
      <c r="E25" s="257">
        <v>154294000</v>
      </c>
      <c r="F25" s="258"/>
      <c r="G25" s="165"/>
      <c r="H25" s="165"/>
    </row>
    <row r="26" spans="2:8">
      <c r="B26" s="259" t="s">
        <v>280</v>
      </c>
      <c r="C26" s="260" t="s">
        <v>294</v>
      </c>
      <c r="D26" s="256">
        <v>145360000</v>
      </c>
      <c r="E26" s="257">
        <v>145360000</v>
      </c>
      <c r="F26" s="258"/>
      <c r="G26" s="165"/>
      <c r="H26" s="165"/>
    </row>
    <row r="27" spans="2:8">
      <c r="B27" s="259" t="s">
        <v>280</v>
      </c>
      <c r="C27" s="260" t="s">
        <v>295</v>
      </c>
      <c r="D27" s="256">
        <v>137900000</v>
      </c>
      <c r="E27" s="257">
        <v>138700000</v>
      </c>
      <c r="F27" s="258"/>
      <c r="G27" s="165"/>
      <c r="H27" s="165"/>
    </row>
    <row r="28" spans="2:8">
      <c r="B28" s="259" t="s">
        <v>280</v>
      </c>
      <c r="C28" s="260" t="s">
        <v>296</v>
      </c>
      <c r="D28" s="256">
        <v>130870000</v>
      </c>
      <c r="E28" s="257">
        <v>132040000</v>
      </c>
      <c r="F28" s="258"/>
      <c r="G28" s="165"/>
      <c r="H28" s="165"/>
    </row>
    <row r="29" spans="2:8">
      <c r="B29" s="259" t="s">
        <v>280</v>
      </c>
      <c r="C29" s="260" t="s">
        <v>297</v>
      </c>
      <c r="D29" s="256">
        <v>124230000</v>
      </c>
      <c r="E29" s="257">
        <v>125380000</v>
      </c>
      <c r="F29" s="258"/>
      <c r="G29" s="165"/>
      <c r="H29" s="165"/>
    </row>
    <row r="30" spans="2:8">
      <c r="B30" s="259" t="s">
        <v>280</v>
      </c>
      <c r="C30" s="260" t="s">
        <v>298</v>
      </c>
      <c r="D30" s="256">
        <v>117970000</v>
      </c>
      <c r="E30" s="257">
        <v>118720000</v>
      </c>
      <c r="F30" s="258"/>
      <c r="G30" s="165"/>
      <c r="H30" s="165"/>
    </row>
    <row r="31" spans="2:8">
      <c r="B31" s="259" t="s">
        <v>280</v>
      </c>
      <c r="C31" s="260" t="s">
        <v>299</v>
      </c>
      <c r="D31" s="256">
        <v>112060000</v>
      </c>
      <c r="E31" s="257">
        <v>112060000</v>
      </c>
      <c r="F31" s="258"/>
      <c r="G31" s="165"/>
      <c r="H31" s="165"/>
    </row>
    <row r="32" spans="2:8">
      <c r="B32" s="259" t="s">
        <v>280</v>
      </c>
      <c r="C32" s="260" t="s">
        <v>300</v>
      </c>
      <c r="D32" s="256">
        <v>106470000</v>
      </c>
      <c r="E32" s="257">
        <v>107056200</v>
      </c>
      <c r="F32" s="258"/>
      <c r="G32" s="165"/>
      <c r="H32" s="165"/>
    </row>
    <row r="33" spans="2:8">
      <c r="B33" s="259" t="s">
        <v>280</v>
      </c>
      <c r="C33" s="260" t="s">
        <v>301</v>
      </c>
      <c r="D33" s="256">
        <v>101200000</v>
      </c>
      <c r="E33" s="257">
        <v>102052400</v>
      </c>
      <c r="F33" s="258"/>
      <c r="G33" s="165"/>
      <c r="H33" s="165"/>
    </row>
    <row r="34" spans="2:8">
      <c r="B34" s="259" t="s">
        <v>280</v>
      </c>
      <c r="C34" s="260" t="s">
        <v>302</v>
      </c>
      <c r="D34" s="256">
        <v>96211000</v>
      </c>
      <c r="E34" s="257">
        <v>97048600</v>
      </c>
      <c r="F34" s="258"/>
      <c r="G34" s="165"/>
      <c r="H34" s="165"/>
    </row>
    <row r="35" spans="2:8">
      <c r="B35" s="259" t="s">
        <v>280</v>
      </c>
      <c r="C35" s="260" t="s">
        <v>303</v>
      </c>
      <c r="D35" s="256">
        <v>91498000</v>
      </c>
      <c r="E35" s="257">
        <v>92044800</v>
      </c>
      <c r="F35" s="258"/>
      <c r="G35" s="165"/>
      <c r="H35" s="165"/>
    </row>
    <row r="36" spans="2:8">
      <c r="B36" s="259" t="s">
        <v>280</v>
      </c>
      <c r="C36" s="260" t="s">
        <v>304</v>
      </c>
      <c r="D36" s="256">
        <v>87041000</v>
      </c>
      <c r="E36" s="257">
        <v>87041000</v>
      </c>
      <c r="F36" s="258"/>
      <c r="G36" s="165"/>
      <c r="H36" s="165"/>
    </row>
    <row r="37" spans="2:8">
      <c r="B37" s="259" t="s">
        <v>280</v>
      </c>
      <c r="C37" s="260" t="s">
        <v>305</v>
      </c>
      <c r="D37" s="256">
        <v>82825000</v>
      </c>
      <c r="E37" s="257">
        <v>83253600</v>
      </c>
      <c r="F37" s="258"/>
      <c r="G37" s="165"/>
      <c r="H37" s="165"/>
    </row>
    <row r="38" spans="2:8">
      <c r="B38" s="259" t="s">
        <v>280</v>
      </c>
      <c r="C38" s="260" t="s">
        <v>306</v>
      </c>
      <c r="D38" s="256">
        <v>78837000</v>
      </c>
      <c r="E38" s="257">
        <v>79466200</v>
      </c>
      <c r="F38" s="258"/>
      <c r="G38" s="165"/>
      <c r="H38" s="165"/>
    </row>
    <row r="39" spans="2:8">
      <c r="B39" s="259" t="s">
        <v>280</v>
      </c>
      <c r="C39" s="260" t="s">
        <v>307</v>
      </c>
      <c r="D39" s="256">
        <v>75062000</v>
      </c>
      <c r="E39" s="257">
        <v>75678800</v>
      </c>
      <c r="F39" s="258"/>
      <c r="G39" s="165"/>
      <c r="H39" s="165"/>
    </row>
    <row r="40" spans="2:8">
      <c r="B40" s="259" t="s">
        <v>280</v>
      </c>
      <c r="C40" s="260" t="s">
        <v>308</v>
      </c>
      <c r="D40" s="256">
        <v>71489000</v>
      </c>
      <c r="E40" s="257">
        <v>71891400</v>
      </c>
      <c r="F40" s="258"/>
      <c r="G40" s="165"/>
      <c r="H40" s="165"/>
    </row>
    <row r="41" spans="2:8">
      <c r="B41" s="259" t="s">
        <v>280</v>
      </c>
      <c r="C41" s="260" t="s">
        <v>309</v>
      </c>
      <c r="D41" s="256">
        <v>68104000</v>
      </c>
      <c r="E41" s="257">
        <v>68104000</v>
      </c>
      <c r="F41" s="258"/>
      <c r="G41" s="165"/>
      <c r="H41" s="165"/>
    </row>
    <row r="42" spans="2:8">
      <c r="B42" s="259" t="s">
        <v>280</v>
      </c>
      <c r="C42" s="260" t="s">
        <v>310</v>
      </c>
      <c r="D42" s="256">
        <v>64899000</v>
      </c>
      <c r="E42" s="257">
        <v>65216200</v>
      </c>
      <c r="F42" s="258"/>
      <c r="G42" s="165"/>
      <c r="H42" s="165"/>
    </row>
    <row r="43" spans="2:8">
      <c r="B43" s="259" t="s">
        <v>280</v>
      </c>
      <c r="C43" s="260" t="s">
        <v>311</v>
      </c>
      <c r="D43" s="256">
        <v>61861000</v>
      </c>
      <c r="E43" s="257">
        <v>62328400</v>
      </c>
      <c r="F43" s="258"/>
      <c r="G43" s="165"/>
      <c r="H43" s="165"/>
    </row>
    <row r="44" spans="2:8">
      <c r="B44" s="259" t="s">
        <v>280</v>
      </c>
      <c r="C44" s="260" t="s">
        <v>312</v>
      </c>
      <c r="D44" s="256">
        <v>58983000</v>
      </c>
      <c r="E44" s="257">
        <v>59440600</v>
      </c>
      <c r="F44" s="258"/>
      <c r="G44" s="165"/>
      <c r="H44" s="165"/>
    </row>
    <row r="45" spans="2:8">
      <c r="B45" s="259" t="s">
        <v>280</v>
      </c>
      <c r="C45" s="260" t="s">
        <v>313</v>
      </c>
      <c r="D45" s="256">
        <v>56253000</v>
      </c>
      <c r="E45" s="257">
        <v>56552800</v>
      </c>
      <c r="F45" s="258"/>
      <c r="G45" s="165"/>
      <c r="H45" s="165"/>
    </row>
    <row r="46" spans="2:8">
      <c r="B46" s="259" t="s">
        <v>280</v>
      </c>
      <c r="C46" s="260" t="s">
        <v>314</v>
      </c>
      <c r="D46" s="256">
        <v>53665000</v>
      </c>
      <c r="E46" s="257">
        <v>53665000</v>
      </c>
      <c r="F46" s="258"/>
      <c r="G46" s="165"/>
      <c r="H46" s="165"/>
    </row>
    <row r="47" spans="2:8">
      <c r="B47" s="259" t="s">
        <v>280</v>
      </c>
      <c r="C47" s="260" t="s">
        <v>315</v>
      </c>
      <c r="D47" s="256">
        <v>51210000</v>
      </c>
      <c r="E47" s="257">
        <v>51447200</v>
      </c>
      <c r="F47" s="258"/>
      <c r="G47" s="165"/>
      <c r="H47" s="165"/>
    </row>
    <row r="48" spans="2:8">
      <c r="B48" s="259" t="s">
        <v>280</v>
      </c>
      <c r="C48" s="260" t="s">
        <v>316</v>
      </c>
      <c r="D48" s="256">
        <v>48880000</v>
      </c>
      <c r="E48" s="257">
        <v>49229400</v>
      </c>
      <c r="F48" s="258"/>
      <c r="G48" s="165"/>
      <c r="H48" s="165"/>
    </row>
    <row r="49" spans="2:8">
      <c r="B49" s="259" t="s">
        <v>280</v>
      </c>
      <c r="C49" s="260" t="s">
        <v>317</v>
      </c>
      <c r="D49" s="256">
        <v>46669000</v>
      </c>
      <c r="E49" s="257">
        <v>47011600</v>
      </c>
      <c r="F49" s="258"/>
      <c r="G49" s="165"/>
      <c r="H49" s="165"/>
    </row>
    <row r="50" spans="2:8">
      <c r="B50" s="259" t="s">
        <v>280</v>
      </c>
      <c r="C50" s="260" t="s">
        <v>318</v>
      </c>
      <c r="D50" s="256">
        <v>44570000</v>
      </c>
      <c r="E50" s="257">
        <v>44793800</v>
      </c>
      <c r="F50" s="258"/>
      <c r="G50" s="165"/>
      <c r="H50" s="165"/>
    </row>
    <row r="51" spans="2:8">
      <c r="B51" s="259" t="s">
        <v>280</v>
      </c>
      <c r="C51" s="260" t="s">
        <v>319</v>
      </c>
      <c r="D51" s="256">
        <v>42576000</v>
      </c>
      <c r="E51" s="257">
        <v>42576000</v>
      </c>
      <c r="F51" s="258"/>
      <c r="G51" s="165"/>
      <c r="H51" s="165"/>
    </row>
    <row r="52" spans="2:8">
      <c r="B52" s="259" t="s">
        <v>280</v>
      </c>
      <c r="C52" s="260" t="s">
        <v>320</v>
      </c>
      <c r="D52" s="256">
        <v>40682000</v>
      </c>
      <c r="E52" s="257">
        <v>40861000</v>
      </c>
      <c r="F52" s="258"/>
      <c r="G52" s="165"/>
      <c r="H52" s="165"/>
    </row>
    <row r="53" spans="2:8">
      <c r="B53" s="259" t="s">
        <v>280</v>
      </c>
      <c r="C53" s="260" t="s">
        <v>321</v>
      </c>
      <c r="D53" s="256">
        <v>38883000</v>
      </c>
      <c r="E53" s="257">
        <v>39146000</v>
      </c>
      <c r="F53" s="258"/>
      <c r="G53" s="165"/>
      <c r="H53" s="165"/>
    </row>
    <row r="54" spans="2:8">
      <c r="B54" s="259" t="s">
        <v>280</v>
      </c>
      <c r="C54" s="260" t="s">
        <v>322</v>
      </c>
      <c r="D54" s="256">
        <v>37173000</v>
      </c>
      <c r="E54" s="257">
        <v>37431000</v>
      </c>
      <c r="F54" s="258"/>
      <c r="G54" s="165"/>
      <c r="H54" s="165"/>
    </row>
    <row r="55" spans="2:8">
      <c r="B55" s="259" t="s">
        <v>280</v>
      </c>
      <c r="C55" s="260" t="s">
        <v>323</v>
      </c>
      <c r="D55" s="256">
        <v>35547000</v>
      </c>
      <c r="E55" s="257">
        <v>35716000</v>
      </c>
      <c r="F55" s="258"/>
      <c r="G55" s="165"/>
      <c r="H55" s="165"/>
    </row>
    <row r="56" spans="2:8">
      <c r="B56" s="259" t="s">
        <v>280</v>
      </c>
      <c r="C56" s="260" t="s">
        <v>324</v>
      </c>
      <c r="D56" s="256">
        <v>34001000</v>
      </c>
      <c r="E56" s="257">
        <v>34001000</v>
      </c>
      <c r="F56" s="258"/>
      <c r="G56" s="165"/>
      <c r="H56" s="165"/>
    </row>
    <row r="57" spans="2:8">
      <c r="B57" s="259" t="s">
        <v>280</v>
      </c>
      <c r="C57" s="260" t="s">
        <v>325</v>
      </c>
      <c r="D57" s="256">
        <v>32531000</v>
      </c>
      <c r="E57" s="257">
        <v>32666000</v>
      </c>
      <c r="F57" s="258"/>
      <c r="G57" s="165"/>
      <c r="H57" s="165"/>
    </row>
    <row r="58" spans="2:8">
      <c r="B58" s="259" t="s">
        <v>280</v>
      </c>
      <c r="C58" s="260" t="s">
        <v>326</v>
      </c>
      <c r="D58" s="256">
        <v>31132000</v>
      </c>
      <c r="E58" s="257">
        <v>31331000</v>
      </c>
      <c r="F58" s="258"/>
      <c r="G58" s="165"/>
      <c r="H58" s="165"/>
    </row>
    <row r="59" spans="2:8">
      <c r="B59" s="259" t="s">
        <v>280</v>
      </c>
      <c r="C59" s="260" t="s">
        <v>327</v>
      </c>
      <c r="D59" s="256">
        <v>29800000</v>
      </c>
      <c r="E59" s="257">
        <v>29996000</v>
      </c>
      <c r="F59" s="258"/>
      <c r="G59" s="165"/>
      <c r="H59" s="165"/>
    </row>
    <row r="60" spans="2:8">
      <c r="B60" s="259" t="s">
        <v>280</v>
      </c>
      <c r="C60" s="260" t="s">
        <v>328</v>
      </c>
      <c r="D60" s="256">
        <v>28533000</v>
      </c>
      <c r="E60" s="257">
        <v>28661000</v>
      </c>
      <c r="F60" s="258"/>
      <c r="G60" s="165"/>
      <c r="H60" s="165"/>
    </row>
    <row r="61" spans="2:8">
      <c r="B61" s="259" t="s">
        <v>280</v>
      </c>
      <c r="C61" s="260" t="s">
        <v>329</v>
      </c>
      <c r="D61" s="256">
        <v>27326000</v>
      </c>
      <c r="E61" s="257">
        <v>27326000</v>
      </c>
      <c r="F61" s="258"/>
      <c r="G61" s="165"/>
      <c r="H61" s="165"/>
    </row>
    <row r="62" spans="2:8">
      <c r="B62" s="259" t="s">
        <v>280</v>
      </c>
      <c r="C62" s="260" t="s">
        <v>330</v>
      </c>
      <c r="D62" s="256">
        <v>26177000</v>
      </c>
      <c r="E62" s="257">
        <v>26280000</v>
      </c>
      <c r="F62" s="258"/>
      <c r="G62" s="165"/>
      <c r="H62" s="165"/>
    </row>
    <row r="63" spans="2:8">
      <c r="B63" s="259" t="s">
        <v>280</v>
      </c>
      <c r="C63" s="260" t="s">
        <v>331</v>
      </c>
      <c r="D63" s="256">
        <v>25082000</v>
      </c>
      <c r="E63" s="257">
        <v>25234000</v>
      </c>
      <c r="F63" s="258"/>
      <c r="G63" s="165"/>
      <c r="H63" s="165"/>
    </row>
    <row r="64" spans="2:8">
      <c r="B64" s="259" t="s">
        <v>280</v>
      </c>
      <c r="C64" s="260" t="s">
        <v>332</v>
      </c>
      <c r="D64" s="256">
        <v>24038000</v>
      </c>
      <c r="E64" s="257">
        <v>24188000</v>
      </c>
      <c r="F64" s="258"/>
      <c r="G64" s="165"/>
      <c r="H64" s="165"/>
    </row>
    <row r="65" spans="2:8">
      <c r="B65" s="259" t="s">
        <v>280</v>
      </c>
      <c r="C65" s="260" t="s">
        <v>333</v>
      </c>
      <c r="D65" s="256">
        <v>23044000</v>
      </c>
      <c r="E65" s="257">
        <v>23142000</v>
      </c>
      <c r="F65" s="258"/>
      <c r="G65" s="165"/>
      <c r="H65" s="165"/>
    </row>
    <row r="66" spans="2:8">
      <c r="B66" s="259" t="s">
        <v>280</v>
      </c>
      <c r="C66" s="260" t="s">
        <v>334</v>
      </c>
      <c r="D66" s="256">
        <v>22096000</v>
      </c>
      <c r="E66" s="257">
        <v>22096000</v>
      </c>
      <c r="F66" s="258"/>
      <c r="G66" s="165"/>
      <c r="H66" s="165"/>
    </row>
    <row r="67" spans="2:8">
      <c r="B67" s="259" t="s">
        <v>280</v>
      </c>
      <c r="C67" s="260" t="s">
        <v>335</v>
      </c>
      <c r="D67" s="256">
        <v>21192000</v>
      </c>
      <c r="E67" s="257">
        <v>21271400</v>
      </c>
      <c r="F67" s="258"/>
      <c r="G67" s="165"/>
      <c r="H67" s="165"/>
    </row>
    <row r="68" spans="2:8">
      <c r="B68" s="259" t="s">
        <v>280</v>
      </c>
      <c r="C68" s="260" t="s">
        <v>336</v>
      </c>
      <c r="D68" s="256">
        <v>20330000</v>
      </c>
      <c r="E68" s="257">
        <v>20446800</v>
      </c>
      <c r="F68" s="258"/>
      <c r="G68" s="165"/>
      <c r="H68" s="165"/>
    </row>
    <row r="69" spans="2:8">
      <c r="B69" s="259" t="s">
        <v>280</v>
      </c>
      <c r="C69" s="260" t="s">
        <v>337</v>
      </c>
      <c r="D69" s="256">
        <v>19507000</v>
      </c>
      <c r="E69" s="257">
        <v>19622200</v>
      </c>
      <c r="F69" s="258"/>
      <c r="G69" s="165"/>
      <c r="H69" s="165"/>
    </row>
    <row r="70" spans="2:8">
      <c r="B70" s="259" t="s">
        <v>280</v>
      </c>
      <c r="C70" s="260" t="s">
        <v>338</v>
      </c>
      <c r="D70" s="256">
        <v>18722000</v>
      </c>
      <c r="E70" s="257">
        <v>18797600</v>
      </c>
      <c r="F70" s="258"/>
      <c r="G70" s="165"/>
      <c r="H70" s="165"/>
    </row>
    <row r="71" spans="2:8">
      <c r="B71" s="259" t="s">
        <v>280</v>
      </c>
      <c r="C71" s="260" t="s">
        <v>339</v>
      </c>
      <c r="D71" s="256">
        <v>17973000</v>
      </c>
      <c r="E71" s="257">
        <v>17973000</v>
      </c>
      <c r="F71" s="258"/>
      <c r="G71" s="165"/>
      <c r="H71" s="165"/>
    </row>
    <row r="72" spans="2:8">
      <c r="B72" s="259" t="s">
        <v>280</v>
      </c>
      <c r="C72" s="260" t="s">
        <v>340</v>
      </c>
      <c r="D72" s="256">
        <v>17258000</v>
      </c>
      <c r="E72" s="257">
        <v>17319000</v>
      </c>
      <c r="F72" s="258"/>
      <c r="G72" s="165"/>
      <c r="H72" s="165"/>
    </row>
    <row r="73" spans="2:8">
      <c r="B73" s="259" t="s">
        <v>280</v>
      </c>
      <c r="C73" s="260" t="s">
        <v>341</v>
      </c>
      <c r="D73" s="256">
        <v>16574000</v>
      </c>
      <c r="E73" s="257">
        <v>16665000</v>
      </c>
      <c r="F73" s="258"/>
      <c r="G73" s="165"/>
      <c r="H73" s="165"/>
    </row>
    <row r="74" spans="2:8">
      <c r="B74" s="259" t="s">
        <v>280</v>
      </c>
      <c r="C74" s="260" t="s">
        <v>342</v>
      </c>
      <c r="D74" s="256">
        <v>15922000</v>
      </c>
      <c r="E74" s="257">
        <v>16011000</v>
      </c>
      <c r="F74" s="258"/>
      <c r="G74" s="165"/>
      <c r="H74" s="165"/>
    </row>
    <row r="75" spans="2:8">
      <c r="B75" s="259" t="s">
        <v>280</v>
      </c>
      <c r="C75" s="260" t="s">
        <v>343</v>
      </c>
      <c r="D75" s="256">
        <v>15298000</v>
      </c>
      <c r="E75" s="257">
        <v>15357000</v>
      </c>
      <c r="F75" s="258"/>
      <c r="G75" s="165"/>
      <c r="H75" s="165"/>
    </row>
    <row r="76" spans="2:8">
      <c r="B76" s="259" t="s">
        <v>280</v>
      </c>
      <c r="C76" s="260" t="s">
        <v>344</v>
      </c>
      <c r="D76" s="256">
        <v>14703000</v>
      </c>
      <c r="E76" s="257">
        <v>14703000</v>
      </c>
      <c r="F76" s="258"/>
      <c r="G76" s="165"/>
      <c r="H76" s="165"/>
    </row>
    <row r="77" spans="2:8">
      <c r="B77" s="259" t="s">
        <v>280</v>
      </c>
      <c r="C77" s="260" t="s">
        <v>345</v>
      </c>
      <c r="D77" s="256">
        <v>14133000</v>
      </c>
      <c r="E77" s="257">
        <v>14181000</v>
      </c>
      <c r="F77" s="258"/>
      <c r="G77" s="165"/>
      <c r="H77" s="165"/>
    </row>
    <row r="78" spans="2:8">
      <c r="B78" s="259" t="s">
        <v>280</v>
      </c>
      <c r="C78" s="260" t="s">
        <v>346</v>
      </c>
      <c r="D78" s="256">
        <v>13589000</v>
      </c>
      <c r="E78" s="257">
        <v>13659000</v>
      </c>
      <c r="F78" s="258"/>
      <c r="G78" s="165"/>
      <c r="H78" s="165"/>
    </row>
    <row r="79" spans="2:8">
      <c r="B79" s="259" t="s">
        <v>280</v>
      </c>
      <c r="C79" s="260" t="s">
        <v>347</v>
      </c>
      <c r="D79" s="256">
        <v>13068000</v>
      </c>
      <c r="E79" s="257">
        <v>13137000</v>
      </c>
      <c r="F79" s="258"/>
      <c r="G79" s="165"/>
      <c r="H79" s="165"/>
    </row>
    <row r="80" spans="2:8">
      <c r="B80" s="259" t="s">
        <v>280</v>
      </c>
      <c r="C80" s="260" t="s">
        <v>348</v>
      </c>
      <c r="D80" s="256">
        <v>12570000</v>
      </c>
      <c r="E80" s="257">
        <v>12615000</v>
      </c>
      <c r="F80" s="258"/>
      <c r="G80" s="165"/>
      <c r="H80" s="165"/>
    </row>
    <row r="81" spans="2:8">
      <c r="B81" s="259" t="s">
        <v>280</v>
      </c>
      <c r="C81" s="260" t="s">
        <v>349</v>
      </c>
      <c r="D81" s="256">
        <v>12093000</v>
      </c>
      <c r="E81" s="257">
        <v>12093000</v>
      </c>
      <c r="F81" s="258"/>
      <c r="G81" s="165"/>
      <c r="H81" s="165"/>
    </row>
    <row r="82" spans="2:8">
      <c r="B82" s="259" t="s">
        <v>280</v>
      </c>
      <c r="C82" s="260" t="s">
        <v>350</v>
      </c>
      <c r="D82" s="256">
        <v>11637000</v>
      </c>
      <c r="E82" s="257">
        <v>11674400</v>
      </c>
      <c r="F82" s="258"/>
      <c r="G82" s="165"/>
      <c r="H82" s="165"/>
    </row>
    <row r="83" spans="2:8">
      <c r="B83" s="259" t="s">
        <v>280</v>
      </c>
      <c r="C83" s="260" t="s">
        <v>351</v>
      </c>
      <c r="D83" s="256">
        <v>11201000</v>
      </c>
      <c r="E83" s="257">
        <v>11255800</v>
      </c>
      <c r="F83" s="258"/>
      <c r="G83" s="165"/>
      <c r="H83" s="165"/>
    </row>
    <row r="84" spans="2:8">
      <c r="B84" s="259" t="s">
        <v>280</v>
      </c>
      <c r="C84" s="260" t="s">
        <v>352</v>
      </c>
      <c r="D84" s="256">
        <v>10783000</v>
      </c>
      <c r="E84" s="257">
        <v>10837200</v>
      </c>
      <c r="F84" s="258"/>
      <c r="G84" s="165"/>
      <c r="H84" s="165"/>
    </row>
    <row r="85" spans="2:8">
      <c r="B85" s="259" t="s">
        <v>280</v>
      </c>
      <c r="C85" s="260" t="s">
        <v>353</v>
      </c>
      <c r="D85" s="256">
        <v>10383000</v>
      </c>
      <c r="E85" s="257">
        <v>10418600</v>
      </c>
      <c r="F85" s="258"/>
      <c r="G85" s="165"/>
      <c r="H85" s="165"/>
    </row>
    <row r="86" spans="2:8">
      <c r="B86" s="259" t="s">
        <v>280</v>
      </c>
      <c r="C86" s="260" t="s">
        <v>354</v>
      </c>
      <c r="D86" s="256">
        <v>10000000</v>
      </c>
      <c r="E86" s="257">
        <v>10000000</v>
      </c>
      <c r="F86" s="258"/>
      <c r="G86" s="165"/>
      <c r="H86" s="165"/>
    </row>
    <row r="87" spans="2:8">
      <c r="B87" s="259" t="s">
        <v>280</v>
      </c>
      <c r="C87" s="260" t="s">
        <v>355</v>
      </c>
      <c r="D87" s="256">
        <v>9632900</v>
      </c>
      <c r="E87" s="257">
        <v>9662260</v>
      </c>
      <c r="F87" s="258"/>
      <c r="G87" s="165"/>
      <c r="H87" s="165"/>
    </row>
    <row r="88" spans="2:8">
      <c r="B88" s="259" t="s">
        <v>280</v>
      </c>
      <c r="C88" s="260" t="s">
        <v>356</v>
      </c>
      <c r="D88" s="256">
        <v>9281200</v>
      </c>
      <c r="E88" s="257">
        <v>9324520</v>
      </c>
      <c r="F88" s="258"/>
      <c r="G88" s="165"/>
      <c r="H88" s="165"/>
    </row>
    <row r="89" spans="2:8">
      <c r="B89" s="259" t="s">
        <v>280</v>
      </c>
      <c r="C89" s="260" t="s">
        <v>357</v>
      </c>
      <c r="D89" s="256">
        <v>8944200</v>
      </c>
      <c r="E89" s="257">
        <v>8986780</v>
      </c>
      <c r="F89" s="258"/>
      <c r="G89" s="165"/>
      <c r="H89" s="165"/>
    </row>
    <row r="90" spans="2:8">
      <c r="B90" s="259" t="s">
        <v>280</v>
      </c>
      <c r="C90" s="260" t="s">
        <v>358</v>
      </c>
      <c r="D90" s="256">
        <v>8621100</v>
      </c>
      <c r="E90" s="257">
        <v>8649040</v>
      </c>
      <c r="F90" s="258"/>
      <c r="G90" s="165"/>
      <c r="H90" s="165"/>
    </row>
    <row r="91" spans="2:8">
      <c r="B91" s="259" t="s">
        <v>280</v>
      </c>
      <c r="C91" s="260" t="s">
        <v>359</v>
      </c>
      <c r="D91" s="256">
        <v>2227800</v>
      </c>
      <c r="E91" s="257">
        <v>2227800</v>
      </c>
      <c r="F91" s="258"/>
      <c r="G91" s="165"/>
      <c r="H91" s="165"/>
    </row>
    <row r="92" spans="2:8">
      <c r="B92" s="259" t="s">
        <v>280</v>
      </c>
      <c r="C92" s="260" t="s">
        <v>360</v>
      </c>
      <c r="D92" s="256">
        <v>2162900</v>
      </c>
      <c r="E92" s="257">
        <v>2167100</v>
      </c>
      <c r="F92" s="258"/>
      <c r="G92" s="165"/>
      <c r="H92" s="165"/>
    </row>
    <row r="93" spans="2:8">
      <c r="B93" s="259" t="s">
        <v>280</v>
      </c>
      <c r="C93" s="260" t="s">
        <v>361</v>
      </c>
      <c r="D93" s="256">
        <v>2100100</v>
      </c>
      <c r="E93" s="257">
        <v>2106400</v>
      </c>
      <c r="F93" s="258"/>
      <c r="G93" s="165"/>
      <c r="H93" s="165"/>
    </row>
    <row r="94" spans="2:8">
      <c r="B94" s="259" t="s">
        <v>280</v>
      </c>
      <c r="C94" s="260" t="s">
        <v>362</v>
      </c>
      <c r="D94" s="256">
        <v>2039500</v>
      </c>
      <c r="E94" s="257">
        <v>2045700</v>
      </c>
      <c r="F94" s="258"/>
      <c r="G94" s="165"/>
      <c r="H94" s="165"/>
    </row>
    <row r="95" spans="2:8">
      <c r="B95" s="259" t="s">
        <v>280</v>
      </c>
      <c r="C95" s="260" t="s">
        <v>363</v>
      </c>
      <c r="D95" s="256">
        <v>1980900</v>
      </c>
      <c r="E95" s="257">
        <v>1985000</v>
      </c>
      <c r="F95" s="258"/>
      <c r="G95" s="165"/>
      <c r="H95" s="165"/>
    </row>
    <row r="96" spans="2:8">
      <c r="B96" s="259" t="s">
        <v>280</v>
      </c>
      <c r="C96" s="260" t="s">
        <v>364</v>
      </c>
      <c r="D96" s="256">
        <v>1924300</v>
      </c>
      <c r="E96" s="257">
        <v>1924300</v>
      </c>
      <c r="F96" s="258"/>
      <c r="G96" s="165"/>
      <c r="H96" s="165"/>
    </row>
    <row r="97" spans="2:8">
      <c r="B97" s="259" t="s">
        <v>280</v>
      </c>
      <c r="C97" s="260" t="s">
        <v>365</v>
      </c>
      <c r="D97" s="256">
        <v>1869600</v>
      </c>
      <c r="E97" s="257">
        <v>1873060</v>
      </c>
      <c r="F97" s="258"/>
      <c r="G97" s="165"/>
      <c r="H97" s="165"/>
    </row>
    <row r="98" spans="2:8">
      <c r="B98" s="259" t="s">
        <v>280</v>
      </c>
      <c r="C98" s="260" t="s">
        <v>366</v>
      </c>
      <c r="D98" s="256">
        <v>1816600</v>
      </c>
      <c r="E98" s="257">
        <v>1821820</v>
      </c>
      <c r="F98" s="258"/>
      <c r="G98" s="165"/>
      <c r="H98" s="165"/>
    </row>
    <row r="99" spans="2:8">
      <c r="B99" s="259" t="s">
        <v>280</v>
      </c>
      <c r="C99" s="260" t="s">
        <v>367</v>
      </c>
      <c r="D99" s="256">
        <v>1765500</v>
      </c>
      <c r="E99" s="257">
        <v>1770580</v>
      </c>
      <c r="F99" s="258"/>
      <c r="G99" s="165"/>
      <c r="H99" s="165"/>
    </row>
    <row r="100" spans="2:8">
      <c r="B100" s="259" t="s">
        <v>280</v>
      </c>
      <c r="C100" s="260" t="s">
        <v>368</v>
      </c>
      <c r="D100" s="256">
        <v>1716000</v>
      </c>
      <c r="E100" s="257">
        <v>1719340</v>
      </c>
      <c r="F100" s="258"/>
      <c r="G100" s="165"/>
      <c r="H100" s="165"/>
    </row>
    <row r="101" spans="2:8">
      <c r="B101" s="259" t="s">
        <v>280</v>
      </c>
      <c r="C101" s="260" t="s">
        <v>369</v>
      </c>
      <c r="D101" s="256">
        <v>1668100</v>
      </c>
      <c r="E101" s="257">
        <v>1668100</v>
      </c>
      <c r="F101" s="258"/>
      <c r="G101" s="165"/>
      <c r="H101" s="165"/>
    </row>
    <row r="102" spans="2:8">
      <c r="B102" s="259" t="s">
        <v>280</v>
      </c>
      <c r="C102" s="260" t="s">
        <v>370</v>
      </c>
      <c r="D102" s="256">
        <v>1621800</v>
      </c>
      <c r="E102" s="257">
        <v>1624680</v>
      </c>
      <c r="F102" s="258"/>
      <c r="G102" s="165"/>
      <c r="H102" s="165"/>
    </row>
    <row r="103" spans="2:8">
      <c r="B103" s="259" t="s">
        <v>280</v>
      </c>
      <c r="C103" s="260" t="s">
        <v>371</v>
      </c>
      <c r="D103" s="256">
        <v>1576900</v>
      </c>
      <c r="E103" s="257">
        <v>1581260</v>
      </c>
      <c r="F103" s="258"/>
      <c r="G103" s="165"/>
      <c r="H103" s="165"/>
    </row>
    <row r="104" spans="2:8">
      <c r="B104" s="259" t="s">
        <v>280</v>
      </c>
      <c r="C104" s="260" t="s">
        <v>372</v>
      </c>
      <c r="D104" s="256">
        <v>1533600</v>
      </c>
      <c r="E104" s="257">
        <v>1537840</v>
      </c>
      <c r="F104" s="258"/>
      <c r="G104" s="165"/>
      <c r="H104" s="165"/>
    </row>
    <row r="105" spans="2:8">
      <c r="B105" s="259" t="s">
        <v>280</v>
      </c>
      <c r="C105" s="260" t="s">
        <v>373</v>
      </c>
      <c r="D105" s="256">
        <v>1491600</v>
      </c>
      <c r="E105" s="257">
        <v>1494420</v>
      </c>
      <c r="F105" s="258"/>
      <c r="G105" s="165"/>
      <c r="H105" s="165"/>
    </row>
    <row r="106" spans="2:8">
      <c r="B106" s="259" t="s">
        <v>280</v>
      </c>
      <c r="C106" s="260" t="s">
        <v>374</v>
      </c>
      <c r="D106" s="256">
        <v>1451000</v>
      </c>
      <c r="E106" s="257">
        <v>1451000</v>
      </c>
      <c r="F106" s="258"/>
      <c r="G106" s="165"/>
      <c r="H106" s="165"/>
    </row>
    <row r="107" spans="2:8">
      <c r="B107" s="259" t="s">
        <v>280</v>
      </c>
      <c r="C107" s="260" t="s">
        <v>375</v>
      </c>
      <c r="D107" s="256">
        <v>1411600</v>
      </c>
      <c r="E107" s="257">
        <v>1414060</v>
      </c>
      <c r="F107" s="258"/>
      <c r="G107" s="165"/>
      <c r="H107" s="165"/>
    </row>
    <row r="108" spans="2:8">
      <c r="B108" s="259" t="s">
        <v>280</v>
      </c>
      <c r="C108" s="260" t="s">
        <v>376</v>
      </c>
      <c r="D108" s="256">
        <v>1373500</v>
      </c>
      <c r="E108" s="257">
        <v>1377120</v>
      </c>
      <c r="F108" s="258"/>
      <c r="G108" s="165"/>
      <c r="H108" s="165"/>
    </row>
    <row r="109" spans="2:8">
      <c r="B109" s="259" t="s">
        <v>280</v>
      </c>
      <c r="C109" s="260" t="s">
        <v>377</v>
      </c>
      <c r="D109" s="256">
        <v>1336700</v>
      </c>
      <c r="E109" s="257">
        <v>1340180</v>
      </c>
      <c r="F109" s="258"/>
      <c r="G109" s="165"/>
      <c r="H109" s="165"/>
    </row>
    <row r="110" spans="2:8">
      <c r="B110" s="259" t="s">
        <v>280</v>
      </c>
      <c r="C110" s="260" t="s">
        <v>378</v>
      </c>
      <c r="D110" s="256">
        <v>1300900</v>
      </c>
      <c r="E110" s="257">
        <v>1303240</v>
      </c>
      <c r="F110" s="258"/>
      <c r="G110" s="165"/>
      <c r="H110" s="165"/>
    </row>
    <row r="111" spans="2:8">
      <c r="B111" s="259" t="s">
        <v>280</v>
      </c>
      <c r="C111" s="260" t="s">
        <v>379</v>
      </c>
      <c r="D111" s="256">
        <v>1266300</v>
      </c>
      <c r="E111" s="257">
        <v>1266300</v>
      </c>
      <c r="F111" s="258"/>
      <c r="G111" s="165"/>
      <c r="H111" s="165"/>
    </row>
    <row r="112" spans="2:8">
      <c r="B112" s="259" t="s">
        <v>280</v>
      </c>
      <c r="C112" s="260" t="s">
        <v>380</v>
      </c>
      <c r="D112" s="256">
        <v>1232800</v>
      </c>
      <c r="E112" s="257">
        <v>1234800</v>
      </c>
      <c r="F112" s="258"/>
      <c r="G112" s="165"/>
      <c r="H112" s="165"/>
    </row>
    <row r="113" spans="2:8">
      <c r="B113" s="259" t="s">
        <v>280</v>
      </c>
      <c r="C113" s="260" t="s">
        <v>381</v>
      </c>
      <c r="D113" s="256">
        <v>1200300</v>
      </c>
      <c r="E113" s="257">
        <v>1203300</v>
      </c>
      <c r="F113" s="258"/>
      <c r="G113" s="165"/>
      <c r="H113" s="165"/>
    </row>
    <row r="114" spans="2:8">
      <c r="B114" s="259" t="s">
        <v>280</v>
      </c>
      <c r="C114" s="260" t="s">
        <v>382</v>
      </c>
      <c r="D114" s="256">
        <v>1168800</v>
      </c>
      <c r="E114" s="257">
        <v>1171800</v>
      </c>
      <c r="F114" s="258"/>
      <c r="G114" s="165"/>
      <c r="H114" s="165"/>
    </row>
    <row r="115" spans="2:8">
      <c r="B115" s="259" t="s">
        <v>280</v>
      </c>
      <c r="C115" s="260" t="s">
        <v>383</v>
      </c>
      <c r="D115" s="256">
        <v>1138300</v>
      </c>
      <c r="E115" s="257">
        <v>1140300</v>
      </c>
      <c r="F115" s="258"/>
      <c r="G115" s="165"/>
      <c r="H115" s="165"/>
    </row>
    <row r="116" spans="2:8">
      <c r="B116" s="259" t="s">
        <v>280</v>
      </c>
      <c r="C116" s="260" t="s">
        <v>384</v>
      </c>
      <c r="D116" s="256">
        <v>1108800</v>
      </c>
      <c r="E116" s="257">
        <v>1108800</v>
      </c>
      <c r="F116" s="258"/>
      <c r="G116" s="165"/>
      <c r="H116" s="165"/>
    </row>
    <row r="117" spans="2:8">
      <c r="B117" s="259" t="s">
        <v>280</v>
      </c>
      <c r="C117" s="260" t="s">
        <v>385</v>
      </c>
      <c r="D117" s="256">
        <v>1080100</v>
      </c>
      <c r="E117" s="257">
        <v>1081802</v>
      </c>
      <c r="F117" s="258"/>
      <c r="G117" s="165"/>
      <c r="H117" s="165"/>
    </row>
    <row r="118" spans="2:8">
      <c r="B118" s="259" t="s">
        <v>280</v>
      </c>
      <c r="C118" s="260" t="s">
        <v>386</v>
      </c>
      <c r="D118" s="256">
        <v>1052300</v>
      </c>
      <c r="E118" s="257">
        <v>1054804</v>
      </c>
      <c r="F118" s="258"/>
      <c r="G118" s="165"/>
      <c r="H118" s="165"/>
    </row>
    <row r="119" spans="2:8">
      <c r="B119" s="259" t="s">
        <v>280</v>
      </c>
      <c r="C119" s="260" t="s">
        <v>387</v>
      </c>
      <c r="D119" s="256">
        <v>1025300</v>
      </c>
      <c r="E119" s="257">
        <v>1027806</v>
      </c>
      <c r="F119" s="258"/>
      <c r="G119" s="165"/>
      <c r="H119" s="165"/>
    </row>
    <row r="120" spans="2:8">
      <c r="B120" s="259" t="s">
        <v>280</v>
      </c>
      <c r="C120" s="260" t="s">
        <v>388</v>
      </c>
      <c r="D120" s="256">
        <v>999170</v>
      </c>
      <c r="E120" s="257">
        <v>1000808</v>
      </c>
      <c r="F120" s="258"/>
      <c r="G120" s="165"/>
      <c r="H120" s="165"/>
    </row>
    <row r="121" spans="2:8">
      <c r="B121" s="259" t="s">
        <v>280</v>
      </c>
      <c r="C121" s="260" t="s">
        <v>389</v>
      </c>
      <c r="D121" s="256">
        <v>973810</v>
      </c>
      <c r="E121" s="257">
        <v>973810</v>
      </c>
      <c r="F121" s="258"/>
      <c r="G121" s="165"/>
      <c r="H121" s="165"/>
    </row>
    <row r="122" spans="2:8">
      <c r="B122" s="259" t="s">
        <v>280</v>
      </c>
      <c r="C122" s="260" t="s">
        <v>390</v>
      </c>
      <c r="D122" s="256">
        <v>949210</v>
      </c>
      <c r="E122" s="257">
        <v>950624</v>
      </c>
      <c r="F122" s="258"/>
      <c r="G122" s="165"/>
      <c r="H122" s="165"/>
    </row>
    <row r="123" spans="2:8">
      <c r="B123" s="259" t="s">
        <v>280</v>
      </c>
      <c r="C123" s="260" t="s">
        <v>391</v>
      </c>
      <c r="D123" s="256">
        <v>925340</v>
      </c>
      <c r="E123" s="257">
        <v>927438</v>
      </c>
      <c r="F123" s="258"/>
      <c r="G123" s="165"/>
      <c r="H123" s="165"/>
    </row>
    <row r="124" spans="2:8">
      <c r="B124" s="259" t="s">
        <v>280</v>
      </c>
      <c r="C124" s="260" t="s">
        <v>392</v>
      </c>
      <c r="D124" s="256">
        <v>902170</v>
      </c>
      <c r="E124" s="257">
        <v>904252</v>
      </c>
      <c r="F124" s="258"/>
      <c r="G124" s="165"/>
      <c r="H124" s="165"/>
    </row>
    <row r="125" spans="2:8">
      <c r="B125" s="259" t="s">
        <v>280</v>
      </c>
      <c r="C125" s="260" t="s">
        <v>393</v>
      </c>
      <c r="D125" s="256">
        <v>879690</v>
      </c>
      <c r="E125" s="257">
        <v>881066</v>
      </c>
      <c r="F125" s="258"/>
      <c r="G125" s="165"/>
      <c r="H125" s="165"/>
    </row>
    <row r="126" spans="2:8">
      <c r="B126" s="259" t="s">
        <v>280</v>
      </c>
      <c r="C126" s="260" t="s">
        <v>394</v>
      </c>
      <c r="D126" s="256">
        <v>857880</v>
      </c>
      <c r="E126" s="257">
        <v>857880</v>
      </c>
      <c r="F126" s="258"/>
      <c r="G126" s="165"/>
      <c r="H126" s="165"/>
    </row>
    <row r="127" spans="2:8">
      <c r="B127" s="259" t="s">
        <v>280</v>
      </c>
      <c r="C127" s="260" t="s">
        <v>395</v>
      </c>
      <c r="D127" s="256">
        <v>836700</v>
      </c>
      <c r="E127" s="257">
        <v>837894</v>
      </c>
      <c r="F127" s="258"/>
      <c r="G127" s="165"/>
      <c r="H127" s="165"/>
    </row>
    <row r="128" spans="2:8">
      <c r="B128" s="259" t="s">
        <v>280</v>
      </c>
      <c r="C128" s="260" t="s">
        <v>396</v>
      </c>
      <c r="D128" s="256">
        <v>816130</v>
      </c>
      <c r="E128" s="257">
        <v>817908</v>
      </c>
      <c r="F128" s="258"/>
      <c r="G128" s="165"/>
      <c r="H128" s="165"/>
    </row>
    <row r="129" spans="2:8">
      <c r="B129" s="259" t="s">
        <v>280</v>
      </c>
      <c r="C129" s="260" t="s">
        <v>397</v>
      </c>
      <c r="D129" s="256">
        <v>796170</v>
      </c>
      <c r="E129" s="257">
        <v>797922</v>
      </c>
      <c r="F129" s="258"/>
      <c r="G129" s="165"/>
      <c r="H129" s="165"/>
    </row>
    <row r="130" spans="2:8">
      <c r="B130" s="259" t="s">
        <v>280</v>
      </c>
      <c r="C130" s="260" t="s">
        <v>398</v>
      </c>
      <c r="D130" s="256">
        <v>776780</v>
      </c>
      <c r="E130" s="257">
        <v>777936</v>
      </c>
      <c r="F130" s="258"/>
      <c r="G130" s="165"/>
      <c r="H130" s="165"/>
    </row>
    <row r="131" spans="2:8">
      <c r="B131" s="259" t="s">
        <v>280</v>
      </c>
      <c r="C131" s="260" t="s">
        <v>399</v>
      </c>
      <c r="D131" s="256">
        <v>757950</v>
      </c>
      <c r="E131" s="257">
        <v>757950</v>
      </c>
      <c r="F131" s="258"/>
      <c r="G131" s="165"/>
      <c r="H131" s="165"/>
    </row>
    <row r="132" spans="2:8">
      <c r="B132" s="259" t="s">
        <v>280</v>
      </c>
      <c r="C132" s="260" t="s">
        <v>400</v>
      </c>
      <c r="D132" s="256">
        <v>739660</v>
      </c>
      <c r="E132" s="257">
        <v>740670</v>
      </c>
      <c r="F132" s="258"/>
      <c r="G132" s="165"/>
      <c r="H132" s="165"/>
    </row>
    <row r="133" spans="2:8">
      <c r="B133" s="259" t="s">
        <v>280</v>
      </c>
      <c r="C133" s="260" t="s">
        <v>401</v>
      </c>
      <c r="D133" s="256">
        <v>721890</v>
      </c>
      <c r="E133" s="257">
        <v>723390</v>
      </c>
      <c r="F133" s="258"/>
      <c r="G133" s="165"/>
      <c r="H133" s="165"/>
    </row>
    <row r="134" spans="2:8">
      <c r="B134" s="259" t="s">
        <v>280</v>
      </c>
      <c r="C134" s="260" t="s">
        <v>402</v>
      </c>
      <c r="D134" s="256">
        <v>704630</v>
      </c>
      <c r="E134" s="257">
        <v>706110</v>
      </c>
      <c r="F134" s="258"/>
      <c r="G134" s="165"/>
      <c r="H134" s="165"/>
    </row>
    <row r="135" spans="2:8">
      <c r="B135" s="259" t="s">
        <v>280</v>
      </c>
      <c r="C135" s="260" t="s">
        <v>403</v>
      </c>
      <c r="D135" s="256">
        <v>687850</v>
      </c>
      <c r="E135" s="257">
        <v>688830</v>
      </c>
      <c r="F135" s="258"/>
      <c r="G135" s="165"/>
      <c r="H135" s="165"/>
    </row>
    <row r="136" spans="2:8">
      <c r="B136" s="259" t="s">
        <v>280</v>
      </c>
      <c r="C136" s="260" t="s">
        <v>404</v>
      </c>
      <c r="D136" s="256">
        <v>671550</v>
      </c>
      <c r="E136" s="257">
        <v>671550</v>
      </c>
      <c r="F136" s="258"/>
      <c r="G136" s="165"/>
      <c r="H136" s="165"/>
    </row>
    <row r="137" spans="2:8">
      <c r="B137" s="259" t="s">
        <v>280</v>
      </c>
      <c r="C137" s="260" t="s">
        <v>405</v>
      </c>
      <c r="D137" s="256">
        <v>655710</v>
      </c>
      <c r="E137" s="257">
        <v>656566</v>
      </c>
      <c r="F137" s="258"/>
      <c r="G137" s="165"/>
      <c r="H137" s="165"/>
    </row>
    <row r="138" spans="2:8">
      <c r="B138" s="259" t="s">
        <v>280</v>
      </c>
      <c r="C138" s="260" t="s">
        <v>406</v>
      </c>
      <c r="D138" s="256">
        <v>640310</v>
      </c>
      <c r="E138" s="257">
        <v>641582</v>
      </c>
      <c r="F138" s="258"/>
      <c r="G138" s="165"/>
      <c r="H138" s="165"/>
    </row>
    <row r="139" spans="2:8">
      <c r="B139" s="259" t="s">
        <v>280</v>
      </c>
      <c r="C139" s="260" t="s">
        <v>407</v>
      </c>
      <c r="D139" s="256">
        <v>625340</v>
      </c>
      <c r="E139" s="257">
        <v>626598</v>
      </c>
      <c r="F139" s="258"/>
      <c r="G139" s="165"/>
      <c r="H139" s="165"/>
    </row>
    <row r="140" spans="2:8">
      <c r="B140" s="259" t="s">
        <v>280</v>
      </c>
      <c r="C140" s="260" t="s">
        <v>408</v>
      </c>
      <c r="D140" s="256">
        <v>610780</v>
      </c>
      <c r="E140" s="257">
        <v>611614</v>
      </c>
      <c r="F140" s="258"/>
      <c r="G140" s="165"/>
      <c r="H140" s="165"/>
    </row>
    <row r="141" spans="2:8">
      <c r="B141" s="259" t="s">
        <v>280</v>
      </c>
      <c r="C141" s="260" t="s">
        <v>409</v>
      </c>
      <c r="D141" s="256">
        <v>596630</v>
      </c>
      <c r="E141" s="257">
        <v>596630</v>
      </c>
      <c r="F141" s="258"/>
      <c r="G141" s="165"/>
      <c r="H141" s="165"/>
    </row>
    <row r="142" spans="2:8">
      <c r="B142" s="259" t="s">
        <v>280</v>
      </c>
      <c r="C142" s="260" t="s">
        <v>410</v>
      </c>
      <c r="D142" s="256">
        <v>582860</v>
      </c>
      <c r="E142" s="257">
        <v>583596</v>
      </c>
      <c r="F142" s="258"/>
      <c r="G142" s="165"/>
      <c r="H142" s="165"/>
    </row>
    <row r="143" spans="2:8">
      <c r="B143" s="259" t="s">
        <v>280</v>
      </c>
      <c r="C143" s="260" t="s">
        <v>411</v>
      </c>
      <c r="D143" s="256">
        <v>569480</v>
      </c>
      <c r="E143" s="257">
        <v>570562</v>
      </c>
      <c r="F143" s="258"/>
      <c r="G143" s="165"/>
      <c r="H143" s="165"/>
    </row>
    <row r="144" spans="2:8">
      <c r="B144" s="259" t="s">
        <v>280</v>
      </c>
      <c r="C144" s="260" t="s">
        <v>412</v>
      </c>
      <c r="D144" s="256">
        <v>556460</v>
      </c>
      <c r="E144" s="257">
        <v>557528</v>
      </c>
      <c r="F144" s="258"/>
      <c r="G144" s="165"/>
      <c r="H144" s="165"/>
    </row>
    <row r="145" spans="2:8">
      <c r="B145" s="259" t="s">
        <v>280</v>
      </c>
      <c r="C145" s="260" t="s">
        <v>413</v>
      </c>
      <c r="D145" s="256">
        <v>543790</v>
      </c>
      <c r="E145" s="257">
        <v>544494</v>
      </c>
      <c r="F145" s="258"/>
      <c r="G145" s="165"/>
      <c r="H145" s="165"/>
    </row>
    <row r="146" spans="2:8">
      <c r="B146" s="259" t="s">
        <v>280</v>
      </c>
      <c r="C146" s="260" t="s">
        <v>414</v>
      </c>
      <c r="D146" s="256">
        <v>531460</v>
      </c>
      <c r="E146" s="257">
        <v>531460</v>
      </c>
      <c r="F146" s="258"/>
      <c r="G146" s="165"/>
      <c r="H146" s="165"/>
    </row>
    <row r="147" spans="2:8">
      <c r="B147" s="259" t="s">
        <v>280</v>
      </c>
      <c r="C147" s="260" t="s">
        <v>415</v>
      </c>
      <c r="D147" s="256">
        <v>519470</v>
      </c>
      <c r="E147" s="257">
        <v>520094</v>
      </c>
      <c r="F147" s="258"/>
      <c r="G147" s="165"/>
      <c r="H147" s="165"/>
    </row>
    <row r="148" spans="2:8">
      <c r="B148" s="259" t="s">
        <v>280</v>
      </c>
      <c r="C148" s="260" t="s">
        <v>416</v>
      </c>
      <c r="D148" s="256">
        <v>507800</v>
      </c>
      <c r="E148" s="257">
        <v>508728</v>
      </c>
      <c r="F148" s="258"/>
      <c r="G148" s="165"/>
      <c r="H148" s="165"/>
    </row>
    <row r="149" spans="2:8">
      <c r="B149" s="259" t="s">
        <v>280</v>
      </c>
      <c r="C149" s="260" t="s">
        <v>417</v>
      </c>
      <c r="D149" s="256">
        <v>496450</v>
      </c>
      <c r="E149" s="257">
        <v>497362</v>
      </c>
      <c r="F149" s="258"/>
      <c r="G149" s="165"/>
      <c r="H149" s="165"/>
    </row>
    <row r="150" spans="2:8">
      <c r="B150" s="259" t="s">
        <v>280</v>
      </c>
      <c r="C150" s="260" t="s">
        <v>418</v>
      </c>
      <c r="D150" s="256">
        <v>485390</v>
      </c>
      <c r="E150" s="257">
        <v>485996</v>
      </c>
      <c r="F150" s="258"/>
      <c r="G150" s="165"/>
      <c r="H150" s="165"/>
    </row>
    <row r="151" spans="2:8">
      <c r="B151" s="259" t="s">
        <v>280</v>
      </c>
      <c r="C151" s="260" t="s">
        <v>419</v>
      </c>
      <c r="D151" s="256">
        <v>474630</v>
      </c>
      <c r="E151" s="257">
        <v>474630</v>
      </c>
      <c r="F151" s="258"/>
      <c r="G151" s="165"/>
      <c r="H151" s="165"/>
    </row>
    <row r="152" spans="2:8">
      <c r="B152" s="259" t="s">
        <v>280</v>
      </c>
      <c r="C152" s="260" t="s">
        <v>420</v>
      </c>
      <c r="D152" s="256">
        <v>464150</v>
      </c>
      <c r="E152" s="257">
        <v>464690</v>
      </c>
      <c r="F152" s="258"/>
      <c r="G152" s="165"/>
      <c r="H152" s="165"/>
    </row>
    <row r="153" spans="2:8">
      <c r="B153" s="259" t="s">
        <v>280</v>
      </c>
      <c r="C153" s="260" t="s">
        <v>421</v>
      </c>
      <c r="D153" s="256">
        <v>453950</v>
      </c>
      <c r="E153" s="257">
        <v>454750</v>
      </c>
      <c r="F153" s="258"/>
      <c r="G153" s="165"/>
      <c r="H153" s="165"/>
    </row>
    <row r="154" spans="2:8">
      <c r="B154" s="259" t="s">
        <v>280</v>
      </c>
      <c r="C154" s="260" t="s">
        <v>422</v>
      </c>
      <c r="D154" s="256">
        <v>444020</v>
      </c>
      <c r="E154" s="257">
        <v>444810</v>
      </c>
      <c r="F154" s="258"/>
      <c r="G154" s="165"/>
      <c r="H154" s="165"/>
    </row>
    <row r="155" spans="2:8">
      <c r="B155" s="259" t="s">
        <v>280</v>
      </c>
      <c r="C155" s="260" t="s">
        <v>423</v>
      </c>
      <c r="D155" s="256">
        <v>434350</v>
      </c>
      <c r="E155" s="257">
        <v>434870</v>
      </c>
      <c r="F155" s="258"/>
      <c r="G155" s="165"/>
      <c r="H155" s="165"/>
    </row>
    <row r="156" spans="2:8">
      <c r="B156" s="259" t="s">
        <v>280</v>
      </c>
      <c r="C156" s="260" t="s">
        <v>424</v>
      </c>
      <c r="D156" s="256">
        <v>424930</v>
      </c>
      <c r="E156" s="257">
        <v>424930</v>
      </c>
      <c r="F156" s="258"/>
      <c r="G156" s="165"/>
      <c r="H156" s="165"/>
    </row>
    <row r="157" spans="2:8">
      <c r="B157" s="259" t="s">
        <v>280</v>
      </c>
      <c r="C157" s="260" t="s">
        <v>425</v>
      </c>
      <c r="D157" s="256">
        <v>415750</v>
      </c>
      <c r="E157" s="257">
        <v>416212</v>
      </c>
      <c r="F157" s="258"/>
      <c r="G157" s="165"/>
      <c r="H157" s="165"/>
    </row>
    <row r="158" spans="2:8">
      <c r="B158" s="259" t="s">
        <v>280</v>
      </c>
      <c r="C158" s="260" t="s">
        <v>426</v>
      </c>
      <c r="D158" s="256">
        <v>406810</v>
      </c>
      <c r="E158" s="257">
        <v>407494</v>
      </c>
      <c r="F158" s="258"/>
      <c r="G158" s="165"/>
      <c r="H158" s="165"/>
    </row>
    <row r="159" spans="2:8">
      <c r="B159" s="259" t="s">
        <v>280</v>
      </c>
      <c r="C159" s="260" t="s">
        <v>427</v>
      </c>
      <c r="D159" s="256">
        <v>398100</v>
      </c>
      <c r="E159" s="257">
        <v>398776</v>
      </c>
      <c r="F159" s="258"/>
      <c r="G159" s="165"/>
      <c r="H159" s="165"/>
    </row>
    <row r="160" spans="2:8">
      <c r="B160" s="259" t="s">
        <v>280</v>
      </c>
      <c r="C160" s="260" t="s">
        <v>428</v>
      </c>
      <c r="D160" s="256">
        <v>389610</v>
      </c>
      <c r="E160" s="257">
        <v>390058</v>
      </c>
      <c r="F160" s="258"/>
      <c r="G160" s="165"/>
      <c r="H160" s="165"/>
    </row>
    <row r="161" spans="2:8">
      <c r="B161" s="259" t="s">
        <v>280</v>
      </c>
      <c r="C161" s="260" t="s">
        <v>429</v>
      </c>
      <c r="D161" s="256">
        <v>381340</v>
      </c>
      <c r="E161" s="257">
        <v>381340</v>
      </c>
      <c r="F161" s="258"/>
      <c r="G161" s="165"/>
      <c r="H161" s="165"/>
    </row>
    <row r="162" spans="2:8">
      <c r="B162" s="259" t="s">
        <v>280</v>
      </c>
      <c r="C162" s="260" t="s">
        <v>430</v>
      </c>
      <c r="D162" s="256">
        <v>373280</v>
      </c>
      <c r="E162" s="257">
        <v>373676</v>
      </c>
      <c r="F162" s="258"/>
      <c r="G162" s="165"/>
      <c r="H162" s="165"/>
    </row>
    <row r="163" spans="2:8">
      <c r="B163" s="259" t="s">
        <v>280</v>
      </c>
      <c r="C163" s="260" t="s">
        <v>431</v>
      </c>
      <c r="D163" s="256">
        <v>365430</v>
      </c>
      <c r="E163" s="257">
        <v>366012</v>
      </c>
      <c r="F163" s="258"/>
      <c r="G163" s="165"/>
      <c r="H163" s="165"/>
    </row>
    <row r="164" spans="2:8">
      <c r="B164" s="259" t="s">
        <v>280</v>
      </c>
      <c r="C164" s="260" t="s">
        <v>432</v>
      </c>
      <c r="D164" s="256">
        <v>357770</v>
      </c>
      <c r="E164" s="257">
        <v>358348</v>
      </c>
      <c r="F164" s="258"/>
      <c r="G164" s="165"/>
      <c r="H164" s="165"/>
    </row>
    <row r="165" spans="2:8">
      <c r="B165" s="259" t="s">
        <v>280</v>
      </c>
      <c r="C165" s="260" t="s">
        <v>433</v>
      </c>
      <c r="D165" s="256">
        <v>350300</v>
      </c>
      <c r="E165" s="257">
        <v>350684</v>
      </c>
      <c r="F165" s="258"/>
      <c r="G165" s="165"/>
      <c r="H165" s="165"/>
    </row>
    <row r="166" spans="2:8">
      <c r="B166" s="259" t="s">
        <v>280</v>
      </c>
      <c r="C166" s="260" t="s">
        <v>434</v>
      </c>
      <c r="D166" s="256">
        <v>343020</v>
      </c>
      <c r="E166" s="257">
        <v>343020</v>
      </c>
      <c r="F166" s="258"/>
      <c r="G166" s="165"/>
      <c r="H166" s="165"/>
    </row>
    <row r="167" spans="2:8">
      <c r="B167" s="259" t="s">
        <v>280</v>
      </c>
      <c r="C167" s="260" t="s">
        <v>435</v>
      </c>
      <c r="D167" s="256">
        <v>335930</v>
      </c>
      <c r="E167" s="257">
        <v>336266</v>
      </c>
      <c r="F167" s="258"/>
      <c r="G167" s="165"/>
      <c r="H167" s="165"/>
    </row>
    <row r="168" spans="2:8">
      <c r="B168" s="259" t="s">
        <v>280</v>
      </c>
      <c r="C168" s="260" t="s">
        <v>436</v>
      </c>
      <c r="D168" s="256">
        <v>329010</v>
      </c>
      <c r="E168" s="257">
        <v>329512</v>
      </c>
      <c r="F168" s="258"/>
      <c r="G168" s="165"/>
      <c r="H168" s="165"/>
    </row>
    <row r="169" spans="2:8">
      <c r="B169" s="259" t="s">
        <v>280</v>
      </c>
      <c r="C169" s="260" t="s">
        <v>437</v>
      </c>
      <c r="D169" s="256">
        <v>322260</v>
      </c>
      <c r="E169" s="257">
        <v>322758</v>
      </c>
      <c r="F169" s="258"/>
      <c r="G169" s="165"/>
      <c r="H169" s="165"/>
    </row>
    <row r="170" spans="2:8">
      <c r="B170" s="259" t="s">
        <v>280</v>
      </c>
      <c r="C170" s="260" t="s">
        <v>438</v>
      </c>
      <c r="D170" s="256">
        <v>315670</v>
      </c>
      <c r="E170" s="257">
        <v>316004</v>
      </c>
      <c r="F170" s="258"/>
      <c r="G170" s="165"/>
      <c r="H170" s="165"/>
    </row>
    <row r="171" ht="17.25" spans="2:8">
      <c r="B171" s="265" t="s">
        <v>280</v>
      </c>
      <c r="C171" s="266" t="s">
        <v>439</v>
      </c>
      <c r="D171" s="256">
        <v>309250</v>
      </c>
      <c r="E171" s="257">
        <v>309250</v>
      </c>
      <c r="F171" s="258"/>
      <c r="G171" s="165"/>
      <c r="H171" s="165"/>
    </row>
  </sheetData>
  <sheetProtection password="CA04" sheet="1" objects="1" scenarios="1"/>
  <protectedRanges>
    <protectedRange sqref="F12:H171" name="区域4"/>
    <protectedRange sqref="D7:I7" name="区域2"/>
    <protectedRange sqref="D3:I4" name="区域1"/>
    <protectedRange sqref="D172:D211" name="区域4_1"/>
    <protectedRange sqref="D12:D90" name="区域4_1_1"/>
    <protectedRange sqref="D91:D171" name="区域4_1_2"/>
  </protectedRanges>
  <mergeCells count="34">
    <mergeCell ref="B2:C2"/>
    <mergeCell ref="P2:Q2"/>
    <mergeCell ref="Z2:AF2"/>
    <mergeCell ref="B3:C3"/>
    <mergeCell ref="P3:Q3"/>
    <mergeCell ref="R3:Y3"/>
    <mergeCell ref="Z3:AF3"/>
    <mergeCell ref="B4:C4"/>
    <mergeCell ref="P4:Q4"/>
    <mergeCell ref="R4:Y4"/>
    <mergeCell ref="Z4:AF4"/>
    <mergeCell ref="B6:C6"/>
    <mergeCell ref="P6:Q6"/>
    <mergeCell ref="Z6:AF6"/>
    <mergeCell ref="B7:C7"/>
    <mergeCell ref="P7:Q7"/>
    <mergeCell ref="R7:Y7"/>
    <mergeCell ref="Z7:AF7"/>
    <mergeCell ref="B10:E10"/>
    <mergeCell ref="B11:C11"/>
    <mergeCell ref="P11:Q11"/>
    <mergeCell ref="Z11:AF11"/>
    <mergeCell ref="P12:Q12"/>
    <mergeCell ref="R12:Y12"/>
    <mergeCell ref="Z12:AF12"/>
    <mergeCell ref="P13:Q13"/>
    <mergeCell ref="R13:Y13"/>
    <mergeCell ref="Z13:AF13"/>
    <mergeCell ref="P14:Q14"/>
    <mergeCell ref="R14:Y14"/>
    <mergeCell ref="Z14:AF14"/>
    <mergeCell ref="P15:Q15"/>
    <mergeCell ref="R15:Y15"/>
    <mergeCell ref="Z15:AF15"/>
  </mergeCells>
  <conditionalFormatting sqref="H4">
    <cfRule type="expression" dxfId="4" priority="339">
      <formula>'Title Page'!#REF!="4"</formula>
    </cfRule>
  </conditionalFormatting>
  <conditionalFormatting sqref="E6">
    <cfRule type="cellIs" dxfId="2" priority="1" operator="equal">
      <formula>"x"</formula>
    </cfRule>
  </conditionalFormatting>
  <conditionalFormatting sqref="D6 F6:I6">
    <cfRule type="cellIs" dxfId="2" priority="3" operator="equal">
      <formula>"x"</formula>
    </cfRule>
  </conditionalFormatting>
  <dataValidations count="9">
    <dataValidation type="list" allowBlank="1" showInputMessage="1" showErrorMessage="1" sqref="K3:K5 K7:K8 K12:K15">
      <formula1>list_Unit</formula1>
    </dataValidation>
    <dataValidation type="whole" operator="between" allowBlank="1" showInputMessage="1" showErrorMessage="1" sqref="D12:D171">
      <formula1>$R$18</formula1>
      <formula2>$S$18</formula2>
    </dataValidation>
    <dataValidation type="list" showInputMessage="1" showErrorMessage="1" error="Invalid value!" sqref="D3:I3">
      <formula1>data!$M$1:$M$3</formula1>
    </dataValidation>
    <dataValidation type="whole" operator="between" allowBlank="1" showInputMessage="1" showErrorMessage="1" sqref="E9">
      <formula1>$L$14</formula1>
      <formula2>$M$14</formula2>
    </dataValidation>
    <dataValidation type="whole" operator="between" showInputMessage="1" showErrorMessage="1" error="Invalid value!&#10;" sqref="D4:I4">
      <formula1>$L4</formula1>
      <formula2>$M4</formula2>
    </dataValidation>
    <dataValidation type="whole" operator="between" allowBlank="1" showInputMessage="1" showErrorMessage="1" sqref="F12:H171">
      <formula1>$L$12</formula1>
      <formula2>$M$12</formula2>
    </dataValidation>
    <dataValidation type="whole" operator="between" showInputMessage="1" showErrorMessage="1" error="Invalid value!&#10;" sqref="G5">
      <formula1>$L$4</formula1>
      <formula2>$M$4</formula2>
    </dataValidation>
    <dataValidation type="list" showInputMessage="1" showErrorMessage="1" error="Invalid value!" sqref="D7:I7">
      <formula1>data!$I$1:$I$7</formula1>
    </dataValidation>
    <dataValidation type="whole" operator="between" allowBlank="1" showInputMessage="1" showErrorMessage="1" sqref="D8">
      <formula1>L8</formula1>
      <formula2>M8</formula2>
    </dataValidation>
  </dataValidations>
  <pageMargins left="0.7" right="0.7" top="0.75" bottom="0.75" header="0.3" footer="0.3"/>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0000"/>
  </sheetPr>
  <dimension ref="A1:AB257"/>
  <sheetViews>
    <sheetView zoomScale="70" zoomScaleNormal="70" topLeftCell="B1" workbookViewId="0">
      <selection activeCell="AB3" sqref="AB3"/>
    </sheetView>
  </sheetViews>
  <sheetFormatPr defaultColWidth="9" defaultRowHeight="14"/>
  <cols>
    <col min="1" max="1" width="52" customWidth="1"/>
    <col min="2" max="2" width="12.125" customWidth="1"/>
    <col min="3" max="3" width="23.875" customWidth="1"/>
    <col min="5" max="5" width="16.125" customWidth="1"/>
    <col min="9" max="9" width="15" customWidth="1"/>
    <col min="13" max="13" width="20.25" customWidth="1"/>
    <col min="14" max="14" width="13" customWidth="1"/>
    <col min="15" max="15" width="23.875" customWidth="1"/>
    <col min="23" max="23" width="9" customWidth="1"/>
    <col min="24" max="24" width="9.625" customWidth="1"/>
    <col min="25" max="25" width="10.375" customWidth="1"/>
    <col min="26" max="26" width="12.25" customWidth="1"/>
  </cols>
  <sheetData>
    <row r="1" ht="16.5" spans="1:28">
      <c r="A1" s="245" t="s">
        <v>440</v>
      </c>
      <c r="B1" t="s">
        <v>441</v>
      </c>
      <c r="C1" t="s">
        <v>442</v>
      </c>
      <c r="D1" t="s">
        <v>443</v>
      </c>
      <c r="E1" t="s">
        <v>444</v>
      </c>
      <c r="F1" t="s">
        <v>444</v>
      </c>
      <c r="G1" t="s">
        <v>444</v>
      </c>
      <c r="H1">
        <v>0</v>
      </c>
      <c r="I1">
        <v>0</v>
      </c>
      <c r="J1">
        <v>0</v>
      </c>
      <c r="K1">
        <v>0</v>
      </c>
      <c r="L1">
        <v>0</v>
      </c>
      <c r="M1" t="s">
        <v>258</v>
      </c>
      <c r="N1" s="62" t="s">
        <v>445</v>
      </c>
      <c r="O1" s="62">
        <v>0</v>
      </c>
      <c r="R1" t="s">
        <v>185</v>
      </c>
      <c r="V1" s="246" t="s">
        <v>446</v>
      </c>
      <c r="W1" s="246" t="s">
        <v>447</v>
      </c>
      <c r="X1" s="246" t="s">
        <v>448</v>
      </c>
      <c r="Y1" s="246" t="s">
        <v>449</v>
      </c>
      <c r="Z1" s="246" t="s">
        <v>450</v>
      </c>
      <c r="AB1" s="62" t="s">
        <v>451</v>
      </c>
    </row>
    <row r="2" ht="16.5" spans="1:28">
      <c r="A2" s="245" t="s">
        <v>452</v>
      </c>
      <c r="B2" t="s">
        <v>453</v>
      </c>
      <c r="C2" t="s">
        <v>454</v>
      </c>
      <c r="D2" t="s">
        <v>455</v>
      </c>
      <c r="E2" t="s">
        <v>456</v>
      </c>
      <c r="F2">
        <v>0</v>
      </c>
      <c r="G2" t="s">
        <v>457</v>
      </c>
      <c r="H2">
        <v>1</v>
      </c>
      <c r="I2">
        <v>1</v>
      </c>
      <c r="J2">
        <v>10</v>
      </c>
      <c r="K2">
        <v>20</v>
      </c>
      <c r="L2">
        <v>10</v>
      </c>
      <c r="M2" t="s">
        <v>257</v>
      </c>
      <c r="N2" t="s">
        <v>458</v>
      </c>
      <c r="O2" s="62">
        <v>1</v>
      </c>
      <c r="R2" t="s">
        <v>186</v>
      </c>
      <c r="S2">
        <v>0</v>
      </c>
      <c r="T2">
        <v>0</v>
      </c>
      <c r="V2">
        <v>0</v>
      </c>
      <c r="W2">
        <v>0</v>
      </c>
      <c r="X2">
        <v>0</v>
      </c>
      <c r="Y2">
        <v>0</v>
      </c>
      <c r="Z2">
        <v>0</v>
      </c>
      <c r="AB2">
        <v>0</v>
      </c>
    </row>
    <row r="3" ht="16.5" spans="1:28">
      <c r="A3" s="245" t="s">
        <v>459</v>
      </c>
      <c r="B3" t="s">
        <v>460</v>
      </c>
      <c r="C3" t="s">
        <v>461</v>
      </c>
      <c r="F3">
        <v>1</v>
      </c>
      <c r="G3" t="s">
        <v>462</v>
      </c>
      <c r="H3">
        <v>2</v>
      </c>
      <c r="I3">
        <v>2</v>
      </c>
      <c r="J3">
        <v>20</v>
      </c>
      <c r="K3">
        <v>40</v>
      </c>
      <c r="L3">
        <v>20</v>
      </c>
      <c r="M3" t="s">
        <v>463</v>
      </c>
      <c r="N3" t="s">
        <v>464</v>
      </c>
      <c r="O3">
        <v>2</v>
      </c>
      <c r="S3">
        <v>1</v>
      </c>
      <c r="T3">
        <v>1</v>
      </c>
      <c r="V3">
        <v>1</v>
      </c>
      <c r="W3">
        <v>2</v>
      </c>
      <c r="X3">
        <v>1</v>
      </c>
      <c r="Y3">
        <v>10</v>
      </c>
      <c r="Z3">
        <v>10</v>
      </c>
      <c r="AB3">
        <v>1</v>
      </c>
    </row>
    <row r="4" ht="16.5" spans="1:28">
      <c r="A4" s="245" t="s">
        <v>465</v>
      </c>
      <c r="B4" t="s">
        <v>466</v>
      </c>
      <c r="C4" t="s">
        <v>467</v>
      </c>
      <c r="F4">
        <v>2</v>
      </c>
      <c r="G4" t="s">
        <v>468</v>
      </c>
      <c r="H4">
        <v>3</v>
      </c>
      <c r="I4">
        <v>3</v>
      </c>
      <c r="J4">
        <v>30</v>
      </c>
      <c r="K4">
        <v>60</v>
      </c>
      <c r="L4">
        <v>30</v>
      </c>
      <c r="N4" t="s">
        <v>469</v>
      </c>
      <c r="O4">
        <v>3</v>
      </c>
      <c r="S4">
        <v>2</v>
      </c>
      <c r="V4">
        <v>2</v>
      </c>
      <c r="W4">
        <v>4</v>
      </c>
      <c r="X4">
        <v>2</v>
      </c>
      <c r="Y4">
        <v>20</v>
      </c>
      <c r="Z4">
        <v>20</v>
      </c>
      <c r="AB4">
        <v>2</v>
      </c>
    </row>
    <row r="5" ht="16.5" spans="1:28">
      <c r="A5" s="245" t="s">
        <v>470</v>
      </c>
      <c r="B5" t="s">
        <v>471</v>
      </c>
      <c r="C5" t="s">
        <v>142</v>
      </c>
      <c r="F5">
        <v>3</v>
      </c>
      <c r="H5">
        <v>4</v>
      </c>
      <c r="I5">
        <v>4</v>
      </c>
      <c r="J5">
        <v>40</v>
      </c>
      <c r="K5">
        <v>80</v>
      </c>
      <c r="L5">
        <v>40</v>
      </c>
      <c r="N5" t="s">
        <v>472</v>
      </c>
      <c r="O5">
        <v>4</v>
      </c>
      <c r="S5">
        <v>3</v>
      </c>
      <c r="V5">
        <v>3</v>
      </c>
      <c r="W5">
        <v>6</v>
      </c>
      <c r="X5">
        <v>3</v>
      </c>
      <c r="Y5">
        <v>30</v>
      </c>
      <c r="Z5">
        <v>30</v>
      </c>
      <c r="AB5">
        <v>3</v>
      </c>
    </row>
    <row r="6" ht="16.5" spans="1:28">
      <c r="A6" s="245" t="s">
        <v>473</v>
      </c>
      <c r="B6" t="s">
        <v>474</v>
      </c>
      <c r="C6" t="s">
        <v>143</v>
      </c>
      <c r="F6">
        <v>4</v>
      </c>
      <c r="H6">
        <v>5</v>
      </c>
      <c r="I6">
        <v>5</v>
      </c>
      <c r="J6">
        <v>50</v>
      </c>
      <c r="K6">
        <v>100</v>
      </c>
      <c r="L6">
        <v>50</v>
      </c>
      <c r="N6" t="s">
        <v>475</v>
      </c>
      <c r="O6">
        <v>5</v>
      </c>
      <c r="S6">
        <v>4</v>
      </c>
      <c r="W6">
        <v>8</v>
      </c>
      <c r="X6">
        <v>4</v>
      </c>
      <c r="Y6">
        <v>40</v>
      </c>
      <c r="Z6">
        <v>40</v>
      </c>
      <c r="AB6">
        <v>4</v>
      </c>
    </row>
    <row r="7" ht="16.5" spans="1:28">
      <c r="A7" s="245" t="s">
        <v>476</v>
      </c>
      <c r="B7" t="s">
        <v>477</v>
      </c>
      <c r="C7" t="s">
        <v>144</v>
      </c>
      <c r="F7">
        <v>5</v>
      </c>
      <c r="H7">
        <v>6</v>
      </c>
      <c r="I7" s="62">
        <v>6</v>
      </c>
      <c r="J7">
        <v>60</v>
      </c>
      <c r="K7">
        <v>120</v>
      </c>
      <c r="L7">
        <v>60</v>
      </c>
      <c r="M7" s="62"/>
      <c r="S7">
        <v>5</v>
      </c>
      <c r="W7">
        <v>10</v>
      </c>
      <c r="X7">
        <v>5</v>
      </c>
      <c r="Y7">
        <v>50</v>
      </c>
      <c r="Z7">
        <v>50</v>
      </c>
      <c r="AB7">
        <v>5</v>
      </c>
    </row>
    <row r="8" ht="16.5" spans="1:28">
      <c r="A8" s="245" t="s">
        <v>478</v>
      </c>
      <c r="B8" t="s">
        <v>479</v>
      </c>
      <c r="C8" t="s">
        <v>145</v>
      </c>
      <c r="F8">
        <v>6</v>
      </c>
      <c r="H8">
        <v>7</v>
      </c>
      <c r="I8" s="62">
        <v>7</v>
      </c>
      <c r="J8">
        <v>70</v>
      </c>
      <c r="K8">
        <v>140</v>
      </c>
      <c r="L8">
        <v>70</v>
      </c>
      <c r="M8" s="62"/>
      <c r="S8">
        <v>6</v>
      </c>
      <c r="W8">
        <v>12</v>
      </c>
      <c r="X8">
        <v>6</v>
      </c>
      <c r="Y8">
        <v>60</v>
      </c>
      <c r="Z8">
        <v>60</v>
      </c>
      <c r="AB8">
        <v>6</v>
      </c>
    </row>
    <row r="9" ht="16.5" spans="1:28">
      <c r="A9" s="245" t="s">
        <v>480</v>
      </c>
      <c r="B9" t="s">
        <v>481</v>
      </c>
      <c r="C9" t="s">
        <v>146</v>
      </c>
      <c r="F9">
        <v>7</v>
      </c>
      <c r="H9">
        <v>8</v>
      </c>
      <c r="I9" s="62">
        <v>8</v>
      </c>
      <c r="J9">
        <v>80</v>
      </c>
      <c r="K9">
        <v>160</v>
      </c>
      <c r="L9">
        <v>80</v>
      </c>
      <c r="N9" t="s">
        <v>445</v>
      </c>
      <c r="S9">
        <v>7</v>
      </c>
      <c r="W9">
        <v>14</v>
      </c>
      <c r="X9">
        <v>7</v>
      </c>
      <c r="Y9">
        <v>70</v>
      </c>
      <c r="Z9">
        <v>70</v>
      </c>
      <c r="AB9">
        <v>7</v>
      </c>
    </row>
    <row r="10" ht="16.5" spans="1:28">
      <c r="A10" s="245" t="s">
        <v>482</v>
      </c>
      <c r="B10" t="s">
        <v>483</v>
      </c>
      <c r="C10" t="s">
        <v>147</v>
      </c>
      <c r="F10">
        <v>8</v>
      </c>
      <c r="H10">
        <v>9</v>
      </c>
      <c r="J10">
        <v>90</v>
      </c>
      <c r="K10">
        <v>180</v>
      </c>
      <c r="L10">
        <v>90</v>
      </c>
      <c r="N10" t="s">
        <v>458</v>
      </c>
      <c r="S10">
        <v>8</v>
      </c>
      <c r="W10">
        <v>16</v>
      </c>
      <c r="X10">
        <v>8</v>
      </c>
      <c r="Y10">
        <v>80</v>
      </c>
      <c r="Z10">
        <v>80</v>
      </c>
      <c r="AB10">
        <v>8</v>
      </c>
    </row>
    <row r="11" ht="16.5" spans="1:28">
      <c r="A11" s="245" t="s">
        <v>484</v>
      </c>
      <c r="B11" t="s">
        <v>485</v>
      </c>
      <c r="C11" t="s">
        <v>148</v>
      </c>
      <c r="F11">
        <v>9</v>
      </c>
      <c r="H11">
        <v>10</v>
      </c>
      <c r="J11">
        <v>100</v>
      </c>
      <c r="K11">
        <v>200</v>
      </c>
      <c r="L11">
        <v>100</v>
      </c>
      <c r="N11" t="s">
        <v>464</v>
      </c>
      <c r="S11">
        <v>9</v>
      </c>
      <c r="W11">
        <v>18</v>
      </c>
      <c r="X11">
        <v>9</v>
      </c>
      <c r="Y11">
        <v>90</v>
      </c>
      <c r="Z11">
        <v>90</v>
      </c>
      <c r="AB11">
        <v>9</v>
      </c>
    </row>
    <row r="12" ht="16.5" spans="1:28">
      <c r="A12" s="245" t="s">
        <v>486</v>
      </c>
      <c r="B12" t="s">
        <v>487</v>
      </c>
      <c r="C12" t="s">
        <v>149</v>
      </c>
      <c r="F12">
        <v>10</v>
      </c>
      <c r="H12">
        <v>11</v>
      </c>
      <c r="J12">
        <v>110</v>
      </c>
      <c r="K12">
        <v>220</v>
      </c>
      <c r="S12">
        <v>10</v>
      </c>
      <c r="W12">
        <v>20</v>
      </c>
      <c r="X12">
        <v>10</v>
      </c>
      <c r="Y12">
        <v>100</v>
      </c>
      <c r="Z12">
        <v>100</v>
      </c>
      <c r="AB12">
        <v>10</v>
      </c>
    </row>
    <row r="13" ht="16.5" spans="1:28">
      <c r="A13" s="245" t="s">
        <v>488</v>
      </c>
      <c r="B13" t="s">
        <v>489</v>
      </c>
      <c r="C13" t="s">
        <v>490</v>
      </c>
      <c r="F13">
        <v>11</v>
      </c>
      <c r="J13">
        <v>120</v>
      </c>
      <c r="K13">
        <v>240</v>
      </c>
      <c r="S13">
        <v>11</v>
      </c>
      <c r="W13">
        <v>22</v>
      </c>
      <c r="X13">
        <v>11</v>
      </c>
      <c r="AB13">
        <v>11</v>
      </c>
    </row>
    <row r="14" ht="16.5" spans="1:28">
      <c r="A14" s="245" t="s">
        <v>491</v>
      </c>
      <c r="B14" t="s">
        <v>492</v>
      </c>
      <c r="C14" t="s">
        <v>493</v>
      </c>
      <c r="F14">
        <v>12</v>
      </c>
      <c r="J14">
        <v>130</v>
      </c>
      <c r="K14">
        <v>260</v>
      </c>
      <c r="S14">
        <v>12</v>
      </c>
      <c r="W14">
        <v>24</v>
      </c>
      <c r="X14">
        <v>12</v>
      </c>
      <c r="AB14">
        <v>12</v>
      </c>
    </row>
    <row r="15" ht="16.5" spans="1:28">
      <c r="A15" s="245" t="s">
        <v>494</v>
      </c>
      <c r="B15" t="s">
        <v>495</v>
      </c>
      <c r="C15" t="s">
        <v>152</v>
      </c>
      <c r="F15">
        <v>13</v>
      </c>
      <c r="J15">
        <v>140</v>
      </c>
      <c r="K15">
        <v>280</v>
      </c>
      <c r="W15">
        <v>26</v>
      </c>
      <c r="X15">
        <v>13</v>
      </c>
      <c r="AB15">
        <v>13</v>
      </c>
    </row>
    <row r="16" ht="16.5" spans="1:28">
      <c r="A16" s="245" t="s">
        <v>496</v>
      </c>
      <c r="B16" t="s">
        <v>497</v>
      </c>
      <c r="C16" t="s">
        <v>498</v>
      </c>
      <c r="F16">
        <v>14</v>
      </c>
      <c r="J16">
        <v>150</v>
      </c>
      <c r="K16">
        <v>300</v>
      </c>
      <c r="W16">
        <v>28</v>
      </c>
      <c r="X16">
        <v>14</v>
      </c>
      <c r="AB16">
        <v>14</v>
      </c>
    </row>
    <row r="17" ht="16.5" spans="1:28">
      <c r="A17" s="245" t="s">
        <v>499</v>
      </c>
      <c r="B17" t="s">
        <v>500</v>
      </c>
      <c r="C17" t="s">
        <v>501</v>
      </c>
      <c r="F17">
        <v>15</v>
      </c>
      <c r="J17">
        <v>160</v>
      </c>
      <c r="K17">
        <v>320</v>
      </c>
      <c r="W17">
        <v>30</v>
      </c>
      <c r="X17">
        <v>15</v>
      </c>
      <c r="AB17">
        <v>15</v>
      </c>
    </row>
    <row r="18" ht="16.5" spans="1:28">
      <c r="A18" s="245" t="s">
        <v>502</v>
      </c>
      <c r="B18" t="s">
        <v>503</v>
      </c>
      <c r="F18">
        <v>16</v>
      </c>
      <c r="J18">
        <v>170</v>
      </c>
      <c r="K18">
        <v>340</v>
      </c>
      <c r="W18">
        <v>32</v>
      </c>
      <c r="X18">
        <v>16</v>
      </c>
      <c r="AB18">
        <v>16</v>
      </c>
    </row>
    <row r="19" ht="16.5" spans="1:28">
      <c r="A19" s="245" t="s">
        <v>504</v>
      </c>
      <c r="B19" t="s">
        <v>505</v>
      </c>
      <c r="F19">
        <v>17</v>
      </c>
      <c r="J19">
        <v>180</v>
      </c>
      <c r="K19">
        <v>360</v>
      </c>
      <c r="W19">
        <v>34</v>
      </c>
      <c r="X19">
        <v>17</v>
      </c>
      <c r="AB19">
        <v>17</v>
      </c>
    </row>
    <row r="20" ht="16.5" spans="1:28">
      <c r="A20" s="245" t="s">
        <v>506</v>
      </c>
      <c r="B20" t="s">
        <v>507</v>
      </c>
      <c r="C20" t="s">
        <v>508</v>
      </c>
      <c r="F20">
        <v>18</v>
      </c>
      <c r="J20">
        <v>190</v>
      </c>
      <c r="K20">
        <v>380</v>
      </c>
      <c r="W20">
        <v>36</v>
      </c>
      <c r="X20">
        <v>18</v>
      </c>
      <c r="AB20">
        <v>18</v>
      </c>
    </row>
    <row r="21" ht="16.5" spans="1:28">
      <c r="A21" s="245" t="s">
        <v>509</v>
      </c>
      <c r="B21" t="s">
        <v>510</v>
      </c>
      <c r="C21" s="62" t="s">
        <v>454</v>
      </c>
      <c r="F21">
        <v>19</v>
      </c>
      <c r="J21">
        <v>200</v>
      </c>
      <c r="K21">
        <v>400</v>
      </c>
      <c r="W21">
        <v>38</v>
      </c>
      <c r="X21">
        <v>19</v>
      </c>
      <c r="AB21">
        <v>19</v>
      </c>
    </row>
    <row r="22" ht="16.5" spans="1:28">
      <c r="A22" s="245" t="s">
        <v>511</v>
      </c>
      <c r="B22" t="s">
        <v>512</v>
      </c>
      <c r="C22" s="62" t="s">
        <v>141</v>
      </c>
      <c r="F22">
        <v>20</v>
      </c>
      <c r="J22">
        <v>210</v>
      </c>
      <c r="K22">
        <v>420</v>
      </c>
      <c r="W22">
        <v>40</v>
      </c>
      <c r="X22">
        <v>20</v>
      </c>
      <c r="AB22">
        <v>20</v>
      </c>
    </row>
    <row r="23" ht="16.5" spans="1:28">
      <c r="A23" s="245" t="s">
        <v>513</v>
      </c>
      <c r="B23" t="s">
        <v>514</v>
      </c>
      <c r="C23" s="62" t="s">
        <v>461</v>
      </c>
      <c r="F23">
        <v>21</v>
      </c>
      <c r="J23">
        <v>220</v>
      </c>
      <c r="K23">
        <v>440</v>
      </c>
      <c r="W23">
        <v>42</v>
      </c>
      <c r="X23">
        <v>21</v>
      </c>
      <c r="AB23">
        <v>21</v>
      </c>
    </row>
    <row r="24" ht="16.5" spans="1:28">
      <c r="A24" s="245" t="s">
        <v>515</v>
      </c>
      <c r="B24" t="s">
        <v>516</v>
      </c>
      <c r="C24" s="62" t="s">
        <v>467</v>
      </c>
      <c r="F24">
        <v>22</v>
      </c>
      <c r="J24">
        <v>230</v>
      </c>
      <c r="K24">
        <v>460</v>
      </c>
      <c r="W24">
        <v>44</v>
      </c>
      <c r="X24">
        <v>22</v>
      </c>
      <c r="AB24">
        <v>22</v>
      </c>
    </row>
    <row r="25" ht="16.5" spans="1:28">
      <c r="A25" s="245" t="s">
        <v>517</v>
      </c>
      <c r="B25" t="s">
        <v>518</v>
      </c>
      <c r="C25" s="62" t="s">
        <v>519</v>
      </c>
      <c r="F25">
        <v>23</v>
      </c>
      <c r="J25">
        <v>240</v>
      </c>
      <c r="K25">
        <v>480</v>
      </c>
      <c r="W25">
        <v>46</v>
      </c>
      <c r="X25">
        <v>23</v>
      </c>
      <c r="AB25">
        <v>23</v>
      </c>
    </row>
    <row r="26" ht="16.5" spans="1:28">
      <c r="A26" s="245" t="s">
        <v>520</v>
      </c>
      <c r="C26" t="s">
        <v>521</v>
      </c>
      <c r="F26">
        <v>24</v>
      </c>
      <c r="J26">
        <v>250</v>
      </c>
      <c r="K26">
        <v>500</v>
      </c>
      <c r="W26">
        <v>48</v>
      </c>
      <c r="X26">
        <v>24</v>
      </c>
      <c r="AB26">
        <v>24</v>
      </c>
    </row>
    <row r="27" ht="16.5" spans="1:28">
      <c r="A27" s="245" t="s">
        <v>522</v>
      </c>
      <c r="C27" s="62" t="s">
        <v>523</v>
      </c>
      <c r="F27">
        <v>25</v>
      </c>
      <c r="J27">
        <v>260</v>
      </c>
      <c r="K27">
        <v>520</v>
      </c>
      <c r="W27">
        <v>50</v>
      </c>
      <c r="X27">
        <v>25</v>
      </c>
      <c r="AB27">
        <v>25</v>
      </c>
    </row>
    <row r="28" ht="16.5" spans="1:28">
      <c r="A28" s="245" t="s">
        <v>524</v>
      </c>
      <c r="C28" s="62" t="s">
        <v>163</v>
      </c>
      <c r="F28">
        <v>26</v>
      </c>
      <c r="J28">
        <v>270</v>
      </c>
      <c r="K28">
        <v>540</v>
      </c>
      <c r="W28">
        <v>52</v>
      </c>
      <c r="X28">
        <v>26</v>
      </c>
      <c r="AB28">
        <v>26</v>
      </c>
    </row>
    <row r="29" ht="16.5" spans="1:28">
      <c r="A29" s="245" t="s">
        <v>525</v>
      </c>
      <c r="C29" t="s">
        <v>149</v>
      </c>
      <c r="F29">
        <v>27</v>
      </c>
      <c r="J29">
        <v>280</v>
      </c>
      <c r="K29">
        <v>560</v>
      </c>
      <c r="W29">
        <v>54</v>
      </c>
      <c r="X29">
        <v>27</v>
      </c>
      <c r="AB29">
        <v>27</v>
      </c>
    </row>
    <row r="30" ht="16.5" spans="1:28">
      <c r="A30" s="245" t="s">
        <v>526</v>
      </c>
      <c r="C30" t="s">
        <v>147</v>
      </c>
      <c r="F30">
        <v>28</v>
      </c>
      <c r="J30">
        <v>290</v>
      </c>
      <c r="K30">
        <v>580</v>
      </c>
      <c r="W30">
        <v>56</v>
      </c>
      <c r="X30">
        <v>28</v>
      </c>
      <c r="AB30">
        <v>28</v>
      </c>
    </row>
    <row r="31" ht="16.5" spans="1:28">
      <c r="A31" s="245" t="s">
        <v>527</v>
      </c>
      <c r="C31" s="62" t="s">
        <v>490</v>
      </c>
      <c r="F31">
        <v>29</v>
      </c>
      <c r="J31">
        <v>300</v>
      </c>
      <c r="K31">
        <v>600</v>
      </c>
      <c r="W31">
        <v>58</v>
      </c>
      <c r="X31">
        <v>29</v>
      </c>
      <c r="AB31">
        <v>29</v>
      </c>
    </row>
    <row r="32" ht="16.5" spans="1:28">
      <c r="A32" s="245" t="s">
        <v>528</v>
      </c>
      <c r="C32" t="s">
        <v>148</v>
      </c>
      <c r="F32">
        <v>30</v>
      </c>
      <c r="J32">
        <v>310</v>
      </c>
      <c r="K32">
        <v>620</v>
      </c>
      <c r="W32">
        <v>60</v>
      </c>
      <c r="X32">
        <v>30</v>
      </c>
      <c r="AB32">
        <v>30</v>
      </c>
    </row>
    <row r="33" ht="16.5" spans="1:28">
      <c r="A33" s="245" t="s">
        <v>529</v>
      </c>
      <c r="F33">
        <v>31</v>
      </c>
      <c r="J33">
        <v>320</v>
      </c>
      <c r="K33">
        <v>640</v>
      </c>
      <c r="W33">
        <v>62</v>
      </c>
      <c r="X33">
        <v>31</v>
      </c>
      <c r="AB33">
        <v>31</v>
      </c>
    </row>
    <row r="34" ht="16.5" spans="1:28">
      <c r="A34" s="245" t="s">
        <v>530</v>
      </c>
      <c r="J34">
        <v>330</v>
      </c>
      <c r="K34">
        <v>660</v>
      </c>
      <c r="W34">
        <v>64</v>
      </c>
      <c r="X34">
        <v>32</v>
      </c>
      <c r="AB34">
        <v>32</v>
      </c>
    </row>
    <row r="35" ht="16.5" spans="1:28">
      <c r="A35" s="245" t="s">
        <v>531</v>
      </c>
      <c r="J35">
        <v>340</v>
      </c>
      <c r="K35">
        <v>680</v>
      </c>
      <c r="W35">
        <v>66</v>
      </c>
      <c r="X35">
        <v>33</v>
      </c>
      <c r="AB35">
        <v>33</v>
      </c>
    </row>
    <row r="36" ht="16.5" spans="1:28">
      <c r="A36" s="245" t="s">
        <v>532</v>
      </c>
      <c r="J36">
        <v>350</v>
      </c>
      <c r="K36">
        <v>700</v>
      </c>
      <c r="W36">
        <v>68</v>
      </c>
      <c r="X36">
        <v>34</v>
      </c>
      <c r="AB36">
        <v>34</v>
      </c>
    </row>
    <row r="37" ht="16.5" spans="1:28">
      <c r="A37" s="245" t="s">
        <v>533</v>
      </c>
      <c r="J37">
        <v>360</v>
      </c>
      <c r="K37">
        <v>720</v>
      </c>
      <c r="W37">
        <v>70</v>
      </c>
      <c r="X37">
        <v>35</v>
      </c>
      <c r="AB37">
        <v>35</v>
      </c>
    </row>
    <row r="38" ht="16.5" spans="1:28">
      <c r="A38" s="245" t="s">
        <v>534</v>
      </c>
      <c r="J38">
        <v>370</v>
      </c>
      <c r="K38">
        <v>740</v>
      </c>
      <c r="W38">
        <v>72</v>
      </c>
      <c r="X38">
        <v>36</v>
      </c>
      <c r="AB38">
        <v>36</v>
      </c>
    </row>
    <row r="39" ht="16.5" spans="1:28">
      <c r="A39" s="245" t="s">
        <v>535</v>
      </c>
      <c r="J39">
        <v>380</v>
      </c>
      <c r="K39">
        <v>760</v>
      </c>
      <c r="W39">
        <v>74</v>
      </c>
      <c r="X39">
        <v>37</v>
      </c>
      <c r="AB39">
        <v>37</v>
      </c>
    </row>
    <row r="40" ht="16.5" spans="1:28">
      <c r="A40" s="245" t="s">
        <v>536</v>
      </c>
      <c r="J40">
        <v>390</v>
      </c>
      <c r="K40">
        <v>780</v>
      </c>
      <c r="W40">
        <v>76</v>
      </c>
      <c r="X40">
        <v>38</v>
      </c>
      <c r="AB40">
        <v>38</v>
      </c>
    </row>
    <row r="41" ht="16.5" spans="1:28">
      <c r="A41" s="245" t="s">
        <v>537</v>
      </c>
      <c r="J41">
        <v>400</v>
      </c>
      <c r="K41">
        <v>800</v>
      </c>
      <c r="W41">
        <v>78</v>
      </c>
      <c r="X41">
        <v>39</v>
      </c>
      <c r="AB41">
        <v>39</v>
      </c>
    </row>
    <row r="42" ht="16.5" spans="1:28">
      <c r="A42" s="245" t="s">
        <v>538</v>
      </c>
      <c r="J42">
        <v>410</v>
      </c>
      <c r="K42">
        <v>820</v>
      </c>
      <c r="W42">
        <v>80</v>
      </c>
      <c r="X42">
        <v>40</v>
      </c>
      <c r="AB42">
        <v>40</v>
      </c>
    </row>
    <row r="43" ht="16.5" spans="1:28">
      <c r="A43" s="245" t="s">
        <v>539</v>
      </c>
      <c r="J43">
        <v>420</v>
      </c>
      <c r="K43">
        <v>840</v>
      </c>
      <c r="W43">
        <v>82</v>
      </c>
      <c r="X43">
        <v>41</v>
      </c>
      <c r="AB43">
        <v>41</v>
      </c>
    </row>
    <row r="44" ht="16.5" spans="1:28">
      <c r="A44" s="245" t="s">
        <v>540</v>
      </c>
      <c r="J44">
        <v>430</v>
      </c>
      <c r="K44">
        <v>860</v>
      </c>
      <c r="W44">
        <v>84</v>
      </c>
      <c r="X44">
        <v>42</v>
      </c>
      <c r="AB44">
        <v>42</v>
      </c>
    </row>
    <row r="45" ht="16.5" spans="1:28">
      <c r="A45" s="245" t="s">
        <v>541</v>
      </c>
      <c r="J45">
        <v>440</v>
      </c>
      <c r="K45">
        <v>880</v>
      </c>
      <c r="W45">
        <v>86</v>
      </c>
      <c r="X45">
        <v>43</v>
      </c>
      <c r="AB45">
        <v>43</v>
      </c>
    </row>
    <row r="46" ht="16.5" spans="1:28">
      <c r="A46" s="245" t="s">
        <v>542</v>
      </c>
      <c r="J46">
        <v>450</v>
      </c>
      <c r="K46">
        <v>900</v>
      </c>
      <c r="W46">
        <v>88</v>
      </c>
      <c r="X46">
        <v>44</v>
      </c>
      <c r="AB46">
        <v>44</v>
      </c>
    </row>
    <row r="47" ht="16.5" spans="1:28">
      <c r="A47" s="245" t="s">
        <v>543</v>
      </c>
      <c r="J47">
        <v>460</v>
      </c>
      <c r="K47">
        <v>920</v>
      </c>
      <c r="W47">
        <v>90</v>
      </c>
      <c r="X47">
        <v>45</v>
      </c>
      <c r="AB47">
        <v>45</v>
      </c>
    </row>
    <row r="48" ht="16.5" spans="1:28">
      <c r="A48" s="245" t="s">
        <v>544</v>
      </c>
      <c r="J48">
        <v>470</v>
      </c>
      <c r="K48">
        <v>940</v>
      </c>
      <c r="W48">
        <v>92</v>
      </c>
      <c r="X48">
        <v>46</v>
      </c>
      <c r="AB48">
        <v>46</v>
      </c>
    </row>
    <row r="49" ht="16.5" spans="1:28">
      <c r="A49" s="245" t="s">
        <v>545</v>
      </c>
      <c r="J49">
        <v>480</v>
      </c>
      <c r="K49">
        <v>960</v>
      </c>
      <c r="W49">
        <v>94</v>
      </c>
      <c r="X49">
        <v>47</v>
      </c>
      <c r="AB49">
        <v>47</v>
      </c>
    </row>
    <row r="50" ht="16.5" spans="1:28">
      <c r="A50" s="245" t="s">
        <v>546</v>
      </c>
      <c r="J50">
        <v>490</v>
      </c>
      <c r="K50">
        <v>980</v>
      </c>
      <c r="W50">
        <v>96</v>
      </c>
      <c r="X50">
        <v>48</v>
      </c>
      <c r="AB50">
        <v>48</v>
      </c>
    </row>
    <row r="51" ht="18.75" customHeight="1" spans="1:28">
      <c r="A51" s="160" t="s">
        <v>547</v>
      </c>
      <c r="J51">
        <v>500</v>
      </c>
      <c r="K51">
        <v>1000</v>
      </c>
      <c r="W51">
        <v>98</v>
      </c>
      <c r="X51">
        <v>49</v>
      </c>
      <c r="AB51">
        <v>49</v>
      </c>
    </row>
    <row r="52" ht="16.5" spans="1:28">
      <c r="A52" s="245" t="s">
        <v>548</v>
      </c>
      <c r="J52">
        <v>510</v>
      </c>
      <c r="K52">
        <v>1020</v>
      </c>
      <c r="W52">
        <v>100</v>
      </c>
      <c r="X52">
        <v>50</v>
      </c>
      <c r="AB52">
        <v>50</v>
      </c>
    </row>
    <row r="53" ht="16.5" spans="1:28">
      <c r="A53" s="245" t="s">
        <v>549</v>
      </c>
      <c r="J53">
        <v>520</v>
      </c>
      <c r="K53">
        <v>1040</v>
      </c>
      <c r="W53">
        <v>102</v>
      </c>
      <c r="X53">
        <v>51</v>
      </c>
      <c r="AB53">
        <v>51</v>
      </c>
    </row>
    <row r="54" ht="16.5" spans="1:28">
      <c r="A54" s="245" t="s">
        <v>550</v>
      </c>
      <c r="J54">
        <v>530</v>
      </c>
      <c r="K54">
        <v>1060</v>
      </c>
      <c r="W54">
        <v>104</v>
      </c>
      <c r="X54">
        <v>52</v>
      </c>
      <c r="AB54">
        <v>52</v>
      </c>
    </row>
    <row r="55" ht="16.5" spans="1:28">
      <c r="A55" s="245" t="s">
        <v>551</v>
      </c>
      <c r="J55">
        <v>540</v>
      </c>
      <c r="K55">
        <v>1080</v>
      </c>
      <c r="W55">
        <v>106</v>
      </c>
      <c r="X55">
        <v>53</v>
      </c>
      <c r="AB55">
        <v>53</v>
      </c>
    </row>
    <row r="56" ht="16.5" spans="1:28">
      <c r="A56" s="245" t="s">
        <v>552</v>
      </c>
      <c r="J56">
        <v>550</v>
      </c>
      <c r="K56">
        <v>1100</v>
      </c>
      <c r="W56">
        <v>108</v>
      </c>
      <c r="X56">
        <v>54</v>
      </c>
      <c r="AB56">
        <v>54</v>
      </c>
    </row>
    <row r="57" spans="10:28">
      <c r="J57">
        <v>560</v>
      </c>
      <c r="K57">
        <v>1120</v>
      </c>
      <c r="W57">
        <v>110</v>
      </c>
      <c r="X57">
        <v>55</v>
      </c>
      <c r="AB57">
        <v>55</v>
      </c>
    </row>
    <row r="58" spans="10:28">
      <c r="J58">
        <v>570</v>
      </c>
      <c r="K58">
        <v>1140</v>
      </c>
      <c r="W58">
        <v>112</v>
      </c>
      <c r="X58">
        <v>56</v>
      </c>
      <c r="AB58">
        <v>56</v>
      </c>
    </row>
    <row r="59" spans="10:28">
      <c r="J59">
        <v>580</v>
      </c>
      <c r="K59">
        <v>1160</v>
      </c>
      <c r="W59">
        <v>114</v>
      </c>
      <c r="X59">
        <v>57</v>
      </c>
      <c r="AB59">
        <v>57</v>
      </c>
    </row>
    <row r="60" spans="10:28">
      <c r="J60">
        <v>590</v>
      </c>
      <c r="K60">
        <v>1180</v>
      </c>
      <c r="W60">
        <v>116</v>
      </c>
      <c r="X60">
        <v>58</v>
      </c>
      <c r="AB60">
        <v>58</v>
      </c>
    </row>
    <row r="61" spans="10:28">
      <c r="J61">
        <v>600</v>
      </c>
      <c r="K61">
        <v>1200</v>
      </c>
      <c r="W61">
        <v>118</v>
      </c>
      <c r="X61">
        <v>59</v>
      </c>
      <c r="AB61">
        <v>59</v>
      </c>
    </row>
    <row r="62" spans="10:28">
      <c r="J62">
        <v>610</v>
      </c>
      <c r="K62">
        <v>1220</v>
      </c>
      <c r="W62">
        <v>120</v>
      </c>
      <c r="X62">
        <v>60</v>
      </c>
      <c r="AB62">
        <v>60</v>
      </c>
    </row>
    <row r="63" spans="10:28">
      <c r="J63">
        <v>620</v>
      </c>
      <c r="K63">
        <v>1240</v>
      </c>
      <c r="W63">
        <v>122</v>
      </c>
      <c r="X63">
        <v>61</v>
      </c>
      <c r="AB63">
        <v>61</v>
      </c>
    </row>
    <row r="64" spans="10:28">
      <c r="J64">
        <v>630</v>
      </c>
      <c r="K64">
        <v>1260</v>
      </c>
      <c r="W64">
        <v>124</v>
      </c>
      <c r="X64">
        <v>62</v>
      </c>
      <c r="AB64">
        <v>62</v>
      </c>
    </row>
    <row r="65" spans="10:28">
      <c r="J65">
        <v>640</v>
      </c>
      <c r="W65">
        <v>126</v>
      </c>
      <c r="X65">
        <v>63</v>
      </c>
      <c r="AB65">
        <v>63</v>
      </c>
    </row>
    <row r="66" spans="10:28">
      <c r="J66">
        <v>650</v>
      </c>
      <c r="X66">
        <v>64</v>
      </c>
      <c r="AB66">
        <v>64</v>
      </c>
    </row>
    <row r="67" spans="10:28">
      <c r="J67">
        <v>660</v>
      </c>
      <c r="X67">
        <v>65</v>
      </c>
      <c r="AB67">
        <v>65</v>
      </c>
    </row>
    <row r="68" spans="10:28">
      <c r="J68">
        <v>670</v>
      </c>
      <c r="X68">
        <v>66</v>
      </c>
      <c r="AB68">
        <v>66</v>
      </c>
    </row>
    <row r="69" spans="10:28">
      <c r="J69">
        <v>680</v>
      </c>
      <c r="X69">
        <v>67</v>
      </c>
      <c r="AB69">
        <v>67</v>
      </c>
    </row>
    <row r="70" spans="10:28">
      <c r="J70">
        <v>690</v>
      </c>
      <c r="X70">
        <v>68</v>
      </c>
      <c r="AB70">
        <v>68</v>
      </c>
    </row>
    <row r="71" spans="10:28">
      <c r="J71">
        <v>700</v>
      </c>
      <c r="X71">
        <v>69</v>
      </c>
      <c r="AB71">
        <v>69</v>
      </c>
    </row>
    <row r="72" spans="10:28">
      <c r="J72">
        <v>710</v>
      </c>
      <c r="X72">
        <v>70</v>
      </c>
      <c r="AB72">
        <v>70</v>
      </c>
    </row>
    <row r="73" spans="10:28">
      <c r="J73">
        <v>720</v>
      </c>
      <c r="X73">
        <v>71</v>
      </c>
      <c r="AB73">
        <v>71</v>
      </c>
    </row>
    <row r="74" spans="10:28">
      <c r="J74">
        <v>730</v>
      </c>
      <c r="X74">
        <v>72</v>
      </c>
      <c r="AB74">
        <v>72</v>
      </c>
    </row>
    <row r="75" spans="10:28">
      <c r="J75">
        <v>740</v>
      </c>
      <c r="X75">
        <v>73</v>
      </c>
      <c r="AB75">
        <v>73</v>
      </c>
    </row>
    <row r="76" spans="10:28">
      <c r="J76">
        <v>750</v>
      </c>
      <c r="X76">
        <v>74</v>
      </c>
      <c r="AB76">
        <v>74</v>
      </c>
    </row>
    <row r="77" spans="10:28">
      <c r="J77">
        <v>760</v>
      </c>
      <c r="X77">
        <v>75</v>
      </c>
      <c r="AB77">
        <v>75</v>
      </c>
    </row>
    <row r="78" spans="10:28">
      <c r="J78">
        <v>770</v>
      </c>
      <c r="X78">
        <v>76</v>
      </c>
      <c r="AB78">
        <v>76</v>
      </c>
    </row>
    <row r="79" spans="10:28">
      <c r="J79">
        <v>780</v>
      </c>
      <c r="X79">
        <v>77</v>
      </c>
      <c r="AB79">
        <v>77</v>
      </c>
    </row>
    <row r="80" spans="10:28">
      <c r="J80">
        <v>790</v>
      </c>
      <c r="X80">
        <v>78</v>
      </c>
      <c r="AB80">
        <v>78</v>
      </c>
    </row>
    <row r="81" spans="10:28">
      <c r="J81">
        <v>800</v>
      </c>
      <c r="X81">
        <v>79</v>
      </c>
      <c r="AB81">
        <v>79</v>
      </c>
    </row>
    <row r="82" spans="10:28">
      <c r="J82">
        <v>810</v>
      </c>
      <c r="X82">
        <v>80</v>
      </c>
      <c r="AB82">
        <v>80</v>
      </c>
    </row>
    <row r="83" spans="10:28">
      <c r="J83">
        <v>820</v>
      </c>
      <c r="X83">
        <v>81</v>
      </c>
      <c r="AB83">
        <v>81</v>
      </c>
    </row>
    <row r="84" spans="10:28">
      <c r="J84">
        <v>830</v>
      </c>
      <c r="X84">
        <v>82</v>
      </c>
      <c r="AB84">
        <v>82</v>
      </c>
    </row>
    <row r="85" spans="10:28">
      <c r="J85">
        <v>840</v>
      </c>
      <c r="X85">
        <v>83</v>
      </c>
      <c r="AB85">
        <v>83</v>
      </c>
    </row>
    <row r="86" spans="10:28">
      <c r="J86">
        <v>850</v>
      </c>
      <c r="X86">
        <v>84</v>
      </c>
      <c r="AB86">
        <v>84</v>
      </c>
    </row>
    <row r="87" spans="10:28">
      <c r="J87">
        <v>860</v>
      </c>
      <c r="X87">
        <v>85</v>
      </c>
      <c r="AB87">
        <v>85</v>
      </c>
    </row>
    <row r="88" spans="10:28">
      <c r="J88">
        <v>870</v>
      </c>
      <c r="X88">
        <v>86</v>
      </c>
      <c r="AB88">
        <v>86</v>
      </c>
    </row>
    <row r="89" spans="10:28">
      <c r="J89">
        <v>880</v>
      </c>
      <c r="X89">
        <v>87</v>
      </c>
      <c r="AB89">
        <v>87</v>
      </c>
    </row>
    <row r="90" spans="10:28">
      <c r="J90">
        <v>890</v>
      </c>
      <c r="X90">
        <v>88</v>
      </c>
      <c r="AB90">
        <v>88</v>
      </c>
    </row>
    <row r="91" spans="10:28">
      <c r="J91">
        <v>900</v>
      </c>
      <c r="X91">
        <v>89</v>
      </c>
      <c r="AB91">
        <v>89</v>
      </c>
    </row>
    <row r="92" spans="10:28">
      <c r="J92">
        <v>910</v>
      </c>
      <c r="X92">
        <v>90</v>
      </c>
      <c r="AB92">
        <v>90</v>
      </c>
    </row>
    <row r="93" spans="10:28">
      <c r="J93">
        <v>920</v>
      </c>
      <c r="X93">
        <v>91</v>
      </c>
      <c r="AB93">
        <v>91</v>
      </c>
    </row>
    <row r="94" spans="10:28">
      <c r="J94">
        <v>930</v>
      </c>
      <c r="X94">
        <v>92</v>
      </c>
      <c r="AB94">
        <v>92</v>
      </c>
    </row>
    <row r="95" spans="10:28">
      <c r="J95">
        <v>940</v>
      </c>
      <c r="X95">
        <v>93</v>
      </c>
      <c r="AB95">
        <v>93</v>
      </c>
    </row>
    <row r="96" spans="10:28">
      <c r="J96">
        <v>950</v>
      </c>
      <c r="X96">
        <v>94</v>
      </c>
      <c r="AB96">
        <v>94</v>
      </c>
    </row>
    <row r="97" spans="10:28">
      <c r="J97">
        <v>960</v>
      </c>
      <c r="X97">
        <v>95</v>
      </c>
      <c r="AB97">
        <v>95</v>
      </c>
    </row>
    <row r="98" spans="10:28">
      <c r="J98">
        <v>970</v>
      </c>
      <c r="X98">
        <v>96</v>
      </c>
      <c r="AB98">
        <v>96</v>
      </c>
    </row>
    <row r="99" spans="10:28">
      <c r="J99">
        <v>980</v>
      </c>
      <c r="X99">
        <v>97</v>
      </c>
      <c r="AB99">
        <v>97</v>
      </c>
    </row>
    <row r="100" spans="10:28">
      <c r="J100">
        <v>990</v>
      </c>
      <c r="X100">
        <v>98</v>
      </c>
      <c r="AB100">
        <v>98</v>
      </c>
    </row>
    <row r="101" spans="10:28">
      <c r="J101">
        <v>1000</v>
      </c>
      <c r="X101">
        <v>99</v>
      </c>
      <c r="AB101">
        <v>99</v>
      </c>
    </row>
    <row r="102" spans="10:28">
      <c r="J102">
        <v>1010</v>
      </c>
      <c r="X102">
        <v>100</v>
      </c>
      <c r="AB102">
        <v>100</v>
      </c>
    </row>
    <row r="103" spans="10:24">
      <c r="J103">
        <v>1020</v>
      </c>
      <c r="X103">
        <v>101</v>
      </c>
    </row>
    <row r="104" spans="10:24">
      <c r="J104">
        <v>1030</v>
      </c>
      <c r="X104">
        <v>102</v>
      </c>
    </row>
    <row r="105" spans="10:24">
      <c r="J105">
        <v>1040</v>
      </c>
      <c r="X105">
        <v>103</v>
      </c>
    </row>
    <row r="106" spans="10:24">
      <c r="J106">
        <v>1050</v>
      </c>
      <c r="X106">
        <v>104</v>
      </c>
    </row>
    <row r="107" spans="10:24">
      <c r="J107">
        <v>1060</v>
      </c>
      <c r="X107">
        <v>105</v>
      </c>
    </row>
    <row r="108" spans="10:24">
      <c r="J108">
        <v>1070</v>
      </c>
      <c r="X108">
        <v>106</v>
      </c>
    </row>
    <row r="109" spans="10:24">
      <c r="J109">
        <v>1080</v>
      </c>
      <c r="X109">
        <v>107</v>
      </c>
    </row>
    <row r="110" spans="10:24">
      <c r="J110">
        <v>1090</v>
      </c>
      <c r="X110">
        <v>108</v>
      </c>
    </row>
    <row r="111" spans="10:24">
      <c r="J111">
        <v>1100</v>
      </c>
      <c r="X111">
        <v>109</v>
      </c>
    </row>
    <row r="112" spans="10:24">
      <c r="J112">
        <v>1110</v>
      </c>
      <c r="X112">
        <v>110</v>
      </c>
    </row>
    <row r="113" spans="10:24">
      <c r="J113">
        <v>1120</v>
      </c>
      <c r="X113">
        <v>111</v>
      </c>
    </row>
    <row r="114" spans="10:24">
      <c r="J114">
        <v>1130</v>
      </c>
      <c r="X114">
        <v>112</v>
      </c>
    </row>
    <row r="115" spans="10:24">
      <c r="J115">
        <v>1140</v>
      </c>
      <c r="X115">
        <v>113</v>
      </c>
    </row>
    <row r="116" spans="10:24">
      <c r="J116">
        <v>1150</v>
      </c>
      <c r="X116">
        <v>114</v>
      </c>
    </row>
    <row r="117" spans="10:24">
      <c r="J117">
        <v>1160</v>
      </c>
      <c r="X117">
        <v>115</v>
      </c>
    </row>
    <row r="118" spans="10:24">
      <c r="J118">
        <v>1170</v>
      </c>
      <c r="X118">
        <v>116</v>
      </c>
    </row>
    <row r="119" spans="10:24">
      <c r="J119">
        <v>1180</v>
      </c>
      <c r="X119">
        <v>117</v>
      </c>
    </row>
    <row r="120" spans="10:24">
      <c r="J120">
        <v>1190</v>
      </c>
      <c r="X120">
        <v>118</v>
      </c>
    </row>
    <row r="121" spans="10:24">
      <c r="J121">
        <v>1200</v>
      </c>
      <c r="X121">
        <v>119</v>
      </c>
    </row>
    <row r="122" spans="10:24">
      <c r="J122">
        <v>1210</v>
      </c>
      <c r="X122">
        <v>120</v>
      </c>
    </row>
    <row r="123" spans="10:24">
      <c r="J123">
        <v>1220</v>
      </c>
      <c r="X123">
        <v>121</v>
      </c>
    </row>
    <row r="124" spans="10:24">
      <c r="J124">
        <v>1230</v>
      </c>
      <c r="X124">
        <v>122</v>
      </c>
    </row>
    <row r="125" spans="10:24">
      <c r="J125">
        <v>1240</v>
      </c>
      <c r="X125">
        <v>123</v>
      </c>
    </row>
    <row r="126" spans="10:24">
      <c r="J126">
        <v>1250</v>
      </c>
      <c r="X126">
        <v>124</v>
      </c>
    </row>
    <row r="127" spans="10:24">
      <c r="J127">
        <v>1260</v>
      </c>
      <c r="X127">
        <v>125</v>
      </c>
    </row>
    <row r="128" spans="10:24">
      <c r="J128">
        <v>1270</v>
      </c>
      <c r="X128">
        <v>126</v>
      </c>
    </row>
    <row r="129" spans="10:24">
      <c r="J129">
        <v>1280</v>
      </c>
      <c r="X129">
        <v>127</v>
      </c>
    </row>
    <row r="130" spans="10:24">
      <c r="J130">
        <v>1290</v>
      </c>
      <c r="X130">
        <v>128</v>
      </c>
    </row>
    <row r="131" spans="10:24">
      <c r="J131">
        <v>1300</v>
      </c>
      <c r="X131">
        <v>129</v>
      </c>
    </row>
    <row r="132" spans="10:24">
      <c r="J132">
        <v>1310</v>
      </c>
      <c r="X132">
        <v>130</v>
      </c>
    </row>
    <row r="133" spans="10:24">
      <c r="J133">
        <v>1320</v>
      </c>
      <c r="X133">
        <v>131</v>
      </c>
    </row>
    <row r="134" spans="10:24">
      <c r="J134">
        <v>1330</v>
      </c>
      <c r="X134">
        <v>132</v>
      </c>
    </row>
    <row r="135" spans="10:24">
      <c r="J135">
        <v>1340</v>
      </c>
      <c r="X135">
        <v>133</v>
      </c>
    </row>
    <row r="136" spans="10:24">
      <c r="J136">
        <v>1350</v>
      </c>
      <c r="X136">
        <v>134</v>
      </c>
    </row>
    <row r="137" spans="10:24">
      <c r="J137">
        <v>1360</v>
      </c>
      <c r="X137">
        <v>135</v>
      </c>
    </row>
    <row r="138" spans="10:24">
      <c r="J138">
        <v>1370</v>
      </c>
      <c r="X138">
        <v>136</v>
      </c>
    </row>
    <row r="139" spans="10:24">
      <c r="J139">
        <v>1380</v>
      </c>
      <c r="X139">
        <v>137</v>
      </c>
    </row>
    <row r="140" spans="10:24">
      <c r="J140">
        <v>1390</v>
      </c>
      <c r="X140">
        <v>138</v>
      </c>
    </row>
    <row r="141" spans="10:24">
      <c r="J141">
        <v>1400</v>
      </c>
      <c r="X141">
        <v>139</v>
      </c>
    </row>
    <row r="142" spans="10:24">
      <c r="J142">
        <v>1410</v>
      </c>
      <c r="X142">
        <v>140</v>
      </c>
    </row>
    <row r="143" spans="10:24">
      <c r="J143">
        <v>1420</v>
      </c>
      <c r="X143">
        <v>141</v>
      </c>
    </row>
    <row r="144" spans="10:24">
      <c r="J144">
        <v>1430</v>
      </c>
      <c r="X144">
        <v>142</v>
      </c>
    </row>
    <row r="145" spans="10:24">
      <c r="J145">
        <v>1440</v>
      </c>
      <c r="X145">
        <v>143</v>
      </c>
    </row>
    <row r="146" spans="10:24">
      <c r="J146">
        <v>1450</v>
      </c>
      <c r="X146">
        <v>144</v>
      </c>
    </row>
    <row r="147" spans="10:24">
      <c r="J147">
        <v>1460</v>
      </c>
      <c r="X147">
        <v>145</v>
      </c>
    </row>
    <row r="148" spans="10:24">
      <c r="J148">
        <v>1470</v>
      </c>
      <c r="X148">
        <v>146</v>
      </c>
    </row>
    <row r="149" spans="10:24">
      <c r="J149">
        <v>1480</v>
      </c>
      <c r="X149">
        <v>147</v>
      </c>
    </row>
    <row r="150" spans="10:24">
      <c r="J150">
        <v>1490</v>
      </c>
      <c r="X150">
        <v>148</v>
      </c>
    </row>
    <row r="151" spans="10:24">
      <c r="J151">
        <v>1500</v>
      </c>
      <c r="X151">
        <v>149</v>
      </c>
    </row>
    <row r="152" spans="10:24">
      <c r="J152">
        <v>1510</v>
      </c>
      <c r="X152">
        <v>150</v>
      </c>
    </row>
    <row r="153" spans="10:24">
      <c r="J153">
        <v>1520</v>
      </c>
      <c r="X153">
        <v>151</v>
      </c>
    </row>
    <row r="154" spans="10:24">
      <c r="J154">
        <v>1530</v>
      </c>
      <c r="X154">
        <v>152</v>
      </c>
    </row>
    <row r="155" spans="10:24">
      <c r="J155">
        <v>1540</v>
      </c>
      <c r="X155">
        <v>153</v>
      </c>
    </row>
    <row r="156" spans="10:24">
      <c r="J156">
        <v>1550</v>
      </c>
      <c r="X156">
        <v>154</v>
      </c>
    </row>
    <row r="157" spans="10:24">
      <c r="J157">
        <v>1560</v>
      </c>
      <c r="X157">
        <v>155</v>
      </c>
    </row>
    <row r="158" spans="10:24">
      <c r="J158">
        <v>1570</v>
      </c>
      <c r="X158">
        <v>156</v>
      </c>
    </row>
    <row r="159" spans="10:24">
      <c r="J159">
        <v>1580</v>
      </c>
      <c r="X159">
        <v>157</v>
      </c>
    </row>
    <row r="160" spans="10:24">
      <c r="J160">
        <v>1590</v>
      </c>
      <c r="X160">
        <v>158</v>
      </c>
    </row>
    <row r="161" spans="10:24">
      <c r="J161">
        <v>1600</v>
      </c>
      <c r="X161">
        <v>159</v>
      </c>
    </row>
    <row r="162" spans="10:24">
      <c r="J162">
        <v>1610</v>
      </c>
      <c r="X162">
        <v>160</v>
      </c>
    </row>
    <row r="163" spans="10:24">
      <c r="J163">
        <v>1620</v>
      </c>
      <c r="X163">
        <v>161</v>
      </c>
    </row>
    <row r="164" spans="10:24">
      <c r="J164">
        <v>1630</v>
      </c>
      <c r="X164">
        <v>162</v>
      </c>
    </row>
    <row r="165" spans="10:24">
      <c r="J165">
        <v>1640</v>
      </c>
      <c r="X165">
        <v>163</v>
      </c>
    </row>
    <row r="166" spans="10:24">
      <c r="J166">
        <v>1650</v>
      </c>
      <c r="X166">
        <v>164</v>
      </c>
    </row>
    <row r="167" spans="10:24">
      <c r="J167">
        <v>1660</v>
      </c>
      <c r="X167">
        <v>165</v>
      </c>
    </row>
    <row r="168" spans="10:24">
      <c r="J168">
        <v>1670</v>
      </c>
      <c r="X168">
        <v>166</v>
      </c>
    </row>
    <row r="169" spans="10:24">
      <c r="J169">
        <v>1680</v>
      </c>
      <c r="X169">
        <v>167</v>
      </c>
    </row>
    <row r="170" spans="10:24">
      <c r="J170">
        <v>1690</v>
      </c>
      <c r="X170">
        <v>168</v>
      </c>
    </row>
    <row r="171" spans="10:24">
      <c r="J171">
        <v>1700</v>
      </c>
      <c r="X171">
        <v>169</v>
      </c>
    </row>
    <row r="172" spans="10:24">
      <c r="J172">
        <v>1710</v>
      </c>
      <c r="X172">
        <v>170</v>
      </c>
    </row>
    <row r="173" spans="10:24">
      <c r="J173">
        <v>1720</v>
      </c>
      <c r="X173">
        <v>171</v>
      </c>
    </row>
    <row r="174" spans="10:24">
      <c r="J174">
        <v>1730</v>
      </c>
      <c r="X174">
        <v>172</v>
      </c>
    </row>
    <row r="175" spans="10:24">
      <c r="J175">
        <v>1740</v>
      </c>
      <c r="X175">
        <v>173</v>
      </c>
    </row>
    <row r="176" spans="10:24">
      <c r="J176">
        <v>1750</v>
      </c>
      <c r="X176">
        <v>174</v>
      </c>
    </row>
    <row r="177" spans="10:24">
      <c r="J177">
        <v>1760</v>
      </c>
      <c r="X177">
        <v>175</v>
      </c>
    </row>
    <row r="178" spans="10:24">
      <c r="J178">
        <v>1770</v>
      </c>
      <c r="X178">
        <v>176</v>
      </c>
    </row>
    <row r="179" spans="10:24">
      <c r="J179">
        <v>1780</v>
      </c>
      <c r="X179">
        <v>177</v>
      </c>
    </row>
    <row r="180" spans="10:24">
      <c r="J180">
        <v>1790</v>
      </c>
      <c r="X180">
        <v>178</v>
      </c>
    </row>
    <row r="181" spans="10:24">
      <c r="J181">
        <v>1800</v>
      </c>
      <c r="X181">
        <v>179</v>
      </c>
    </row>
    <row r="182" spans="10:24">
      <c r="J182">
        <v>1810</v>
      </c>
      <c r="X182">
        <v>180</v>
      </c>
    </row>
    <row r="183" spans="10:24">
      <c r="J183">
        <v>1820</v>
      </c>
      <c r="X183">
        <v>181</v>
      </c>
    </row>
    <row r="184" spans="10:24">
      <c r="J184">
        <v>1830</v>
      </c>
      <c r="X184">
        <v>182</v>
      </c>
    </row>
    <row r="185" spans="10:24">
      <c r="J185">
        <v>1840</v>
      </c>
      <c r="X185">
        <v>183</v>
      </c>
    </row>
    <row r="186" spans="10:24">
      <c r="J186">
        <v>1850</v>
      </c>
      <c r="X186">
        <v>184</v>
      </c>
    </row>
    <row r="187" spans="10:24">
      <c r="J187">
        <v>1860</v>
      </c>
      <c r="X187">
        <v>185</v>
      </c>
    </row>
    <row r="188" spans="10:24">
      <c r="J188">
        <v>1870</v>
      </c>
      <c r="X188">
        <v>186</v>
      </c>
    </row>
    <row r="189" spans="10:24">
      <c r="J189">
        <v>1880</v>
      </c>
      <c r="X189">
        <v>187</v>
      </c>
    </row>
    <row r="190" spans="10:24">
      <c r="J190">
        <v>1890</v>
      </c>
      <c r="X190">
        <v>188</v>
      </c>
    </row>
    <row r="191" spans="10:24">
      <c r="J191">
        <v>1900</v>
      </c>
      <c r="X191">
        <v>189</v>
      </c>
    </row>
    <row r="192" spans="10:24">
      <c r="J192">
        <v>1910</v>
      </c>
      <c r="X192">
        <v>190</v>
      </c>
    </row>
    <row r="193" spans="10:24">
      <c r="J193">
        <v>1920</v>
      </c>
      <c r="X193">
        <v>191</v>
      </c>
    </row>
    <row r="194" spans="10:24">
      <c r="J194">
        <v>1930</v>
      </c>
      <c r="X194">
        <v>192</v>
      </c>
    </row>
    <row r="195" spans="10:24">
      <c r="J195">
        <v>1940</v>
      </c>
      <c r="X195">
        <v>193</v>
      </c>
    </row>
    <row r="196" spans="10:24">
      <c r="J196">
        <v>1950</v>
      </c>
      <c r="X196">
        <v>194</v>
      </c>
    </row>
    <row r="197" spans="10:24">
      <c r="J197">
        <v>1960</v>
      </c>
      <c r="X197">
        <v>195</v>
      </c>
    </row>
    <row r="198" spans="10:24">
      <c r="J198">
        <v>1970</v>
      </c>
      <c r="X198">
        <v>196</v>
      </c>
    </row>
    <row r="199" spans="10:24">
      <c r="J199">
        <v>1980</v>
      </c>
      <c r="X199">
        <v>197</v>
      </c>
    </row>
    <row r="200" spans="10:24">
      <c r="J200">
        <v>1990</v>
      </c>
      <c r="X200">
        <v>198</v>
      </c>
    </row>
    <row r="201" spans="10:24">
      <c r="J201">
        <v>2000</v>
      </c>
      <c r="X201">
        <v>199</v>
      </c>
    </row>
    <row r="202" spans="10:24">
      <c r="J202">
        <v>2010</v>
      </c>
      <c r="X202">
        <v>200</v>
      </c>
    </row>
    <row r="203" spans="10:24">
      <c r="J203">
        <v>2020</v>
      </c>
      <c r="X203">
        <v>201</v>
      </c>
    </row>
    <row r="204" spans="10:24">
      <c r="J204">
        <v>2030</v>
      </c>
      <c r="X204">
        <v>202</v>
      </c>
    </row>
    <row r="205" spans="10:24">
      <c r="J205">
        <v>2040</v>
      </c>
      <c r="X205">
        <v>203</v>
      </c>
    </row>
    <row r="206" spans="10:24">
      <c r="J206">
        <v>2050</v>
      </c>
      <c r="X206">
        <v>204</v>
      </c>
    </row>
    <row r="207" spans="10:24">
      <c r="J207">
        <v>2060</v>
      </c>
      <c r="X207">
        <v>205</v>
      </c>
    </row>
    <row r="208" spans="10:24">
      <c r="J208">
        <v>2070</v>
      </c>
      <c r="X208">
        <v>206</v>
      </c>
    </row>
    <row r="209" spans="10:24">
      <c r="J209">
        <v>2080</v>
      </c>
      <c r="X209">
        <v>207</v>
      </c>
    </row>
    <row r="210" spans="10:24">
      <c r="J210">
        <v>2090</v>
      </c>
      <c r="X210">
        <v>208</v>
      </c>
    </row>
    <row r="211" spans="10:24">
      <c r="J211">
        <v>2100</v>
      </c>
      <c r="X211">
        <v>209</v>
      </c>
    </row>
    <row r="212" spans="10:24">
      <c r="J212">
        <v>2110</v>
      </c>
      <c r="X212">
        <v>210</v>
      </c>
    </row>
    <row r="213" spans="10:24">
      <c r="J213">
        <v>2120</v>
      </c>
      <c r="X213">
        <v>211</v>
      </c>
    </row>
    <row r="214" spans="10:24">
      <c r="J214">
        <v>2130</v>
      </c>
      <c r="X214">
        <v>212</v>
      </c>
    </row>
    <row r="215" spans="10:24">
      <c r="J215">
        <v>2140</v>
      </c>
      <c r="X215">
        <v>213</v>
      </c>
    </row>
    <row r="216" spans="10:24">
      <c r="J216">
        <v>2150</v>
      </c>
      <c r="X216">
        <v>214</v>
      </c>
    </row>
    <row r="217" spans="10:24">
      <c r="J217">
        <v>2160</v>
      </c>
      <c r="X217">
        <v>215</v>
      </c>
    </row>
    <row r="218" spans="10:24">
      <c r="J218">
        <v>2170</v>
      </c>
      <c r="X218">
        <v>216</v>
      </c>
    </row>
    <row r="219" spans="10:24">
      <c r="J219">
        <v>2180</v>
      </c>
      <c r="X219">
        <v>217</v>
      </c>
    </row>
    <row r="220" spans="10:24">
      <c r="J220">
        <v>2190</v>
      </c>
      <c r="X220">
        <v>218</v>
      </c>
    </row>
    <row r="221" spans="10:24">
      <c r="J221">
        <v>2200</v>
      </c>
      <c r="X221">
        <v>219</v>
      </c>
    </row>
    <row r="222" spans="10:24">
      <c r="J222">
        <v>2210</v>
      </c>
      <c r="X222">
        <v>220</v>
      </c>
    </row>
    <row r="223" spans="10:24">
      <c r="J223">
        <v>2220</v>
      </c>
      <c r="X223">
        <v>221</v>
      </c>
    </row>
    <row r="224" spans="10:24">
      <c r="J224">
        <v>2230</v>
      </c>
      <c r="X224">
        <v>222</v>
      </c>
    </row>
    <row r="225" spans="10:24">
      <c r="J225">
        <v>2240</v>
      </c>
      <c r="X225">
        <v>223</v>
      </c>
    </row>
    <row r="226" spans="10:24">
      <c r="J226">
        <v>2250</v>
      </c>
      <c r="X226">
        <v>224</v>
      </c>
    </row>
    <row r="227" spans="10:24">
      <c r="J227">
        <v>2260</v>
      </c>
      <c r="X227">
        <v>225</v>
      </c>
    </row>
    <row r="228" spans="10:24">
      <c r="J228">
        <v>2270</v>
      </c>
      <c r="X228">
        <v>226</v>
      </c>
    </row>
    <row r="229" spans="10:24">
      <c r="J229">
        <v>2280</v>
      </c>
      <c r="X229">
        <v>227</v>
      </c>
    </row>
    <row r="230" spans="10:24">
      <c r="J230">
        <v>2290</v>
      </c>
      <c r="X230">
        <v>228</v>
      </c>
    </row>
    <row r="231" spans="10:24">
      <c r="J231">
        <v>2300</v>
      </c>
      <c r="X231">
        <v>229</v>
      </c>
    </row>
    <row r="232" spans="10:24">
      <c r="J232">
        <v>2310</v>
      </c>
      <c r="X232">
        <v>230</v>
      </c>
    </row>
    <row r="233" spans="10:24">
      <c r="J233">
        <v>2320</v>
      </c>
      <c r="X233">
        <v>231</v>
      </c>
    </row>
    <row r="234" spans="10:24">
      <c r="J234">
        <v>2330</v>
      </c>
      <c r="X234">
        <v>232</v>
      </c>
    </row>
    <row r="235" spans="10:24">
      <c r="J235">
        <v>2340</v>
      </c>
      <c r="X235">
        <v>233</v>
      </c>
    </row>
    <row r="236" spans="10:24">
      <c r="J236">
        <v>2350</v>
      </c>
      <c r="X236">
        <v>234</v>
      </c>
    </row>
    <row r="237" spans="10:24">
      <c r="J237">
        <v>2360</v>
      </c>
      <c r="X237">
        <v>235</v>
      </c>
    </row>
    <row r="238" spans="10:24">
      <c r="J238">
        <v>2370</v>
      </c>
      <c r="X238">
        <v>236</v>
      </c>
    </row>
    <row r="239" spans="10:24">
      <c r="J239">
        <v>2380</v>
      </c>
      <c r="X239">
        <v>237</v>
      </c>
    </row>
    <row r="240" spans="10:24">
      <c r="J240">
        <v>2390</v>
      </c>
      <c r="X240">
        <v>238</v>
      </c>
    </row>
    <row r="241" spans="10:24">
      <c r="J241">
        <v>2400</v>
      </c>
      <c r="X241">
        <v>239</v>
      </c>
    </row>
    <row r="242" spans="10:24">
      <c r="J242">
        <v>2410</v>
      </c>
      <c r="X242">
        <v>240</v>
      </c>
    </row>
    <row r="243" spans="10:24">
      <c r="J243">
        <v>2420</v>
      </c>
      <c r="X243">
        <v>241</v>
      </c>
    </row>
    <row r="244" spans="10:24">
      <c r="J244">
        <v>2430</v>
      </c>
      <c r="X244">
        <v>242</v>
      </c>
    </row>
    <row r="245" spans="10:24">
      <c r="J245">
        <v>2440</v>
      </c>
      <c r="X245">
        <v>243</v>
      </c>
    </row>
    <row r="246" spans="10:24">
      <c r="J246">
        <v>2450</v>
      </c>
      <c r="X246">
        <v>244</v>
      </c>
    </row>
    <row r="247" spans="10:24">
      <c r="J247">
        <v>2460</v>
      </c>
      <c r="X247">
        <v>245</v>
      </c>
    </row>
    <row r="248" spans="10:24">
      <c r="J248">
        <v>2470</v>
      </c>
      <c r="X248">
        <v>246</v>
      </c>
    </row>
    <row r="249" spans="10:24">
      <c r="J249">
        <v>2480</v>
      </c>
      <c r="X249">
        <v>247</v>
      </c>
    </row>
    <row r="250" spans="10:24">
      <c r="J250">
        <v>2490</v>
      </c>
      <c r="X250">
        <v>248</v>
      </c>
    </row>
    <row r="251" spans="10:24">
      <c r="J251">
        <v>2500</v>
      </c>
      <c r="X251">
        <v>249</v>
      </c>
    </row>
    <row r="252" spans="10:24">
      <c r="J252">
        <v>2510</v>
      </c>
      <c r="X252">
        <v>250</v>
      </c>
    </row>
    <row r="253" spans="10:24">
      <c r="J253">
        <v>2520</v>
      </c>
      <c r="X253">
        <v>251</v>
      </c>
    </row>
    <row r="254" spans="10:24">
      <c r="J254">
        <v>2530</v>
      </c>
      <c r="X254">
        <v>252</v>
      </c>
    </row>
    <row r="255" spans="10:24">
      <c r="J255">
        <v>2540</v>
      </c>
      <c r="X255">
        <v>253</v>
      </c>
    </row>
    <row r="256" spans="10:24">
      <c r="J256">
        <v>2550</v>
      </c>
      <c r="X256">
        <v>254</v>
      </c>
    </row>
    <row r="257" spans="24:24">
      <c r="X257">
        <v>255</v>
      </c>
    </row>
  </sheetData>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2:W36"/>
  <sheetViews>
    <sheetView showGridLines="0" workbookViewId="0">
      <selection activeCell="E10" sqref="E10"/>
    </sheetView>
  </sheetViews>
  <sheetFormatPr defaultColWidth="12.375" defaultRowHeight="16.5"/>
  <cols>
    <col min="1" max="1" width="5.375" style="200" customWidth="1"/>
    <col min="2" max="2" width="21.125" style="200" customWidth="1"/>
    <col min="3" max="8" width="12.375" style="200"/>
    <col min="9" max="9" width="18.625" style="200" customWidth="1"/>
    <col min="10" max="14" width="8.375" style="200" customWidth="1"/>
    <col min="15" max="15" width="24" style="200" customWidth="1"/>
    <col min="16" max="16384" width="12.375" style="200"/>
  </cols>
  <sheetData>
    <row r="2" spans="2:23">
      <c r="B2" s="219" t="s">
        <v>553</v>
      </c>
      <c r="C2" s="220" t="s">
        <v>236</v>
      </c>
      <c r="J2" s="176" t="s">
        <v>176</v>
      </c>
      <c r="K2" s="176" t="s">
        <v>177</v>
      </c>
      <c r="L2" s="176" t="s">
        <v>178</v>
      </c>
      <c r="M2" s="176" t="s">
        <v>179</v>
      </c>
      <c r="N2" s="176" t="s">
        <v>180</v>
      </c>
      <c r="O2" s="176" t="s">
        <v>181</v>
      </c>
      <c r="P2" s="176" t="s">
        <v>182</v>
      </c>
      <c r="Q2" s="176"/>
      <c r="R2" s="176"/>
      <c r="S2" s="176"/>
      <c r="T2" s="176"/>
      <c r="U2" s="176"/>
      <c r="V2" s="176"/>
      <c r="W2" s="176"/>
    </row>
    <row r="3" ht="17.25" spans="2:23">
      <c r="B3" s="221"/>
      <c r="C3" s="222" t="s">
        <v>186</v>
      </c>
      <c r="J3" s="459" t="s">
        <v>91</v>
      </c>
      <c r="K3" s="232">
        <f>[5]Lists!$R$2</f>
        <v>0</v>
      </c>
      <c r="L3" s="232">
        <f>[5]Lists!$R$3</f>
        <v>1</v>
      </c>
      <c r="M3" s="233">
        <v>1</v>
      </c>
      <c r="N3" s="232">
        <v>0</v>
      </c>
      <c r="O3" s="234" t="s">
        <v>554</v>
      </c>
      <c r="P3" s="234" t="s">
        <v>555</v>
      </c>
      <c r="Q3" s="234"/>
      <c r="R3" s="234"/>
      <c r="S3" s="234"/>
      <c r="T3" s="234"/>
      <c r="U3" s="234"/>
      <c r="V3" s="234"/>
      <c r="W3" s="234"/>
    </row>
    <row r="5" ht="17.5" spans="2:23">
      <c r="B5" s="176" t="s">
        <v>556</v>
      </c>
      <c r="C5" s="223" t="s">
        <v>126</v>
      </c>
      <c r="D5" s="223" t="s">
        <v>127</v>
      </c>
      <c r="E5" s="223" t="s">
        <v>128</v>
      </c>
      <c r="F5" s="223" t="s">
        <v>129</v>
      </c>
      <c r="G5" s="223" t="s">
        <v>130</v>
      </c>
      <c r="H5" s="224" t="s">
        <v>131</v>
      </c>
      <c r="J5" s="176" t="s">
        <v>176</v>
      </c>
      <c r="K5" s="176" t="s">
        <v>177</v>
      </c>
      <c r="L5" s="176" t="s">
        <v>178</v>
      </c>
      <c r="M5" s="176" t="s">
        <v>179</v>
      </c>
      <c r="N5" s="176" t="s">
        <v>180</v>
      </c>
      <c r="O5" s="176" t="s">
        <v>181</v>
      </c>
      <c r="P5" s="176" t="s">
        <v>182</v>
      </c>
      <c r="Q5" s="176"/>
      <c r="R5" s="176"/>
      <c r="S5" s="176"/>
      <c r="T5" s="176"/>
      <c r="U5" s="176"/>
      <c r="V5" s="176"/>
      <c r="W5" s="176"/>
    </row>
    <row r="6" ht="21" customHeight="1" spans="2:23">
      <c r="B6" s="176" t="s">
        <v>557</v>
      </c>
      <c r="C6" s="225">
        <v>0</v>
      </c>
      <c r="D6" s="225">
        <v>0</v>
      </c>
      <c r="E6" s="225">
        <v>0</v>
      </c>
      <c r="F6" s="225">
        <v>0</v>
      </c>
      <c r="G6" s="225">
        <v>0</v>
      </c>
      <c r="H6" s="225">
        <v>0</v>
      </c>
      <c r="I6" s="235" t="s">
        <v>558</v>
      </c>
      <c r="J6" s="459" t="s">
        <v>91</v>
      </c>
      <c r="K6" s="232">
        <v>0</v>
      </c>
      <c r="L6" s="232">
        <v>3</v>
      </c>
      <c r="M6" s="233">
        <v>1</v>
      </c>
      <c r="N6" s="232">
        <v>0</v>
      </c>
      <c r="O6" s="234" t="s">
        <v>559</v>
      </c>
      <c r="P6" s="234" t="s">
        <v>560</v>
      </c>
      <c r="Q6" s="234"/>
      <c r="R6" s="234"/>
      <c r="S6" s="234"/>
      <c r="T6" s="234"/>
      <c r="U6" s="234"/>
      <c r="V6" s="234"/>
      <c r="W6" s="234"/>
    </row>
    <row r="7" ht="33" spans="2:23">
      <c r="B7" s="176" t="s">
        <v>561</v>
      </c>
      <c r="C7" s="225">
        <v>0</v>
      </c>
      <c r="D7" s="225">
        <v>0</v>
      </c>
      <c r="E7" s="225">
        <v>0</v>
      </c>
      <c r="F7" s="225">
        <v>0</v>
      </c>
      <c r="G7" s="225">
        <v>0</v>
      </c>
      <c r="H7" s="225">
        <v>0</v>
      </c>
      <c r="I7" s="236" t="s">
        <v>562</v>
      </c>
      <c r="J7" s="459" t="s">
        <v>91</v>
      </c>
      <c r="K7" s="232">
        <v>0</v>
      </c>
      <c r="L7" s="232">
        <v>10</v>
      </c>
      <c r="M7" s="233">
        <v>1</v>
      </c>
      <c r="N7" s="232">
        <v>0</v>
      </c>
      <c r="O7" s="234" t="s">
        <v>563</v>
      </c>
      <c r="P7" s="234" t="s">
        <v>564</v>
      </c>
      <c r="Q7" s="234"/>
      <c r="R7" s="234"/>
      <c r="S7" s="234"/>
      <c r="T7" s="234"/>
      <c r="U7" s="234"/>
      <c r="V7" s="234"/>
      <c r="W7" s="234"/>
    </row>
    <row r="9" spans="2:23">
      <c r="B9" s="176" t="s">
        <v>235</v>
      </c>
      <c r="C9" s="176" t="s">
        <v>236</v>
      </c>
      <c r="J9" s="176" t="s">
        <v>176</v>
      </c>
      <c r="K9" s="176" t="s">
        <v>177</v>
      </c>
      <c r="L9" s="176" t="s">
        <v>178</v>
      </c>
      <c r="M9" s="176" t="s">
        <v>179</v>
      </c>
      <c r="N9" s="176" t="s">
        <v>180</v>
      </c>
      <c r="O9" s="176" t="s">
        <v>181</v>
      </c>
      <c r="P9" s="237" t="s">
        <v>182</v>
      </c>
      <c r="Q9" s="241"/>
      <c r="R9" s="241"/>
      <c r="S9" s="241"/>
      <c r="T9" s="241"/>
      <c r="U9" s="241"/>
      <c r="V9" s="241"/>
      <c r="W9" s="242"/>
    </row>
    <row r="10" spans="2:23">
      <c r="B10" s="176" t="s">
        <v>565</v>
      </c>
      <c r="C10" s="226">
        <v>0</v>
      </c>
      <c r="J10" s="459" t="s">
        <v>91</v>
      </c>
      <c r="K10" s="232">
        <v>0</v>
      </c>
      <c r="L10" s="238">
        <v>6</v>
      </c>
      <c r="M10" s="239">
        <v>1</v>
      </c>
      <c r="N10" s="232">
        <v>0</v>
      </c>
      <c r="O10" s="234" t="s">
        <v>565</v>
      </c>
      <c r="P10" s="240" t="s">
        <v>566</v>
      </c>
      <c r="Q10" s="243"/>
      <c r="R10" s="243"/>
      <c r="S10" s="243"/>
      <c r="T10" s="243"/>
      <c r="U10" s="243"/>
      <c r="V10" s="243"/>
      <c r="W10" s="244"/>
    </row>
    <row r="11" spans="2:23">
      <c r="B11" s="176" t="s">
        <v>567</v>
      </c>
      <c r="C11" s="226">
        <v>0</v>
      </c>
      <c r="J11" s="459" t="s">
        <v>91</v>
      </c>
      <c r="K11" s="232">
        <v>0</v>
      </c>
      <c r="L11" s="238">
        <v>6</v>
      </c>
      <c r="M11" s="239">
        <v>1</v>
      </c>
      <c r="N11" s="232">
        <v>0</v>
      </c>
      <c r="O11" s="234" t="s">
        <v>567</v>
      </c>
      <c r="P11" s="240" t="s">
        <v>568</v>
      </c>
      <c r="Q11" s="243"/>
      <c r="R11" s="243"/>
      <c r="S11" s="243"/>
      <c r="T11" s="243"/>
      <c r="U11" s="243"/>
      <c r="V11" s="243"/>
      <c r="W11" s="244"/>
    </row>
    <row r="12" spans="2:23">
      <c r="B12" s="176" t="s">
        <v>569</v>
      </c>
      <c r="C12" s="226">
        <v>0</v>
      </c>
      <c r="J12" s="459" t="s">
        <v>91</v>
      </c>
      <c r="K12" s="232">
        <v>0</v>
      </c>
      <c r="L12" s="238">
        <v>6</v>
      </c>
      <c r="M12" s="239">
        <v>1</v>
      </c>
      <c r="N12" s="232">
        <v>0</v>
      </c>
      <c r="O12" s="234" t="s">
        <v>569</v>
      </c>
      <c r="P12" s="240" t="s">
        <v>570</v>
      </c>
      <c r="Q12" s="243"/>
      <c r="R12" s="243"/>
      <c r="S12" s="243"/>
      <c r="T12" s="243"/>
      <c r="U12" s="243"/>
      <c r="V12" s="243"/>
      <c r="W12" s="244"/>
    </row>
    <row r="15" spans="2:7">
      <c r="B15" s="176" t="s">
        <v>571</v>
      </c>
      <c r="C15" s="176" t="s">
        <v>572</v>
      </c>
      <c r="D15" s="176"/>
      <c r="E15" s="176" t="s">
        <v>573</v>
      </c>
      <c r="F15" s="176" t="s">
        <v>574</v>
      </c>
      <c r="G15" s="176" t="s">
        <v>575</v>
      </c>
    </row>
    <row r="16" spans="2:7">
      <c r="B16" s="176"/>
      <c r="C16" s="176" t="s">
        <v>576</v>
      </c>
      <c r="D16" s="176" t="s">
        <v>576</v>
      </c>
      <c r="E16" s="176" t="s">
        <v>82</v>
      </c>
      <c r="F16" s="176" t="s">
        <v>82</v>
      </c>
      <c r="G16" s="176" t="s">
        <v>82</v>
      </c>
    </row>
    <row r="17" spans="2:23">
      <c r="B17" s="176">
        <v>1</v>
      </c>
      <c r="C17" s="227">
        <v>890</v>
      </c>
      <c r="D17" s="227">
        <v>1100</v>
      </c>
      <c r="E17" s="228">
        <v>936</v>
      </c>
      <c r="F17" s="228">
        <v>380</v>
      </c>
      <c r="G17" s="228">
        <v>380</v>
      </c>
      <c r="J17" s="176" t="s">
        <v>176</v>
      </c>
      <c r="K17" s="176" t="s">
        <v>177</v>
      </c>
      <c r="L17" s="176" t="s">
        <v>178</v>
      </c>
      <c r="M17" s="176" t="s">
        <v>179</v>
      </c>
      <c r="N17" s="176" t="s">
        <v>180</v>
      </c>
      <c r="O17" s="176" t="s">
        <v>181</v>
      </c>
      <c r="P17" s="176" t="s">
        <v>182</v>
      </c>
      <c r="Q17" s="176"/>
      <c r="R17" s="176"/>
      <c r="S17" s="176"/>
      <c r="T17" s="176"/>
      <c r="U17" s="176"/>
      <c r="V17" s="176"/>
      <c r="W17" s="176"/>
    </row>
    <row r="18" spans="2:23">
      <c r="B18" s="176">
        <v>2</v>
      </c>
      <c r="C18" s="227">
        <v>2000</v>
      </c>
      <c r="D18" s="227">
        <v>2390</v>
      </c>
      <c r="E18" s="228">
        <v>804</v>
      </c>
      <c r="F18" s="228">
        <v>306</v>
      </c>
      <c r="G18" s="228">
        <v>306</v>
      </c>
      <c r="J18" s="232" t="s">
        <v>576</v>
      </c>
      <c r="K18" s="232">
        <v>0</v>
      </c>
      <c r="L18" s="232">
        <v>65535</v>
      </c>
      <c r="M18" s="233">
        <v>1</v>
      </c>
      <c r="N18" s="232">
        <v>0</v>
      </c>
      <c r="O18" s="234" t="s">
        <v>577</v>
      </c>
      <c r="P18" s="234" t="s">
        <v>578</v>
      </c>
      <c r="Q18" s="234" t="s">
        <v>579</v>
      </c>
      <c r="R18" s="234"/>
      <c r="S18" s="234"/>
      <c r="T18" s="234"/>
      <c r="U18" s="234"/>
      <c r="V18" s="234"/>
      <c r="W18" s="234"/>
    </row>
    <row r="19" spans="2:23">
      <c r="B19" s="176">
        <v>3</v>
      </c>
      <c r="C19" s="227">
        <v>3530</v>
      </c>
      <c r="D19" s="227">
        <v>4280</v>
      </c>
      <c r="E19" s="228">
        <v>936</v>
      </c>
      <c r="F19" s="228">
        <v>380</v>
      </c>
      <c r="G19" s="228">
        <v>380</v>
      </c>
      <c r="J19" s="232" t="s">
        <v>576</v>
      </c>
      <c r="K19" s="232">
        <v>0</v>
      </c>
      <c r="L19" s="232">
        <v>65535</v>
      </c>
      <c r="M19" s="233">
        <v>1</v>
      </c>
      <c r="N19" s="232">
        <v>0</v>
      </c>
      <c r="O19" s="234" t="s">
        <v>580</v>
      </c>
      <c r="P19" s="234" t="s">
        <v>581</v>
      </c>
      <c r="Q19" s="234" t="s">
        <v>582</v>
      </c>
      <c r="R19" s="234"/>
      <c r="S19" s="234"/>
      <c r="T19" s="234"/>
      <c r="U19" s="234"/>
      <c r="V19" s="234"/>
      <c r="W19" s="234"/>
    </row>
    <row r="20" spans="2:23">
      <c r="B20" s="176">
        <v>4</v>
      </c>
      <c r="C20" s="227">
        <v>5050</v>
      </c>
      <c r="D20" s="227">
        <v>6160</v>
      </c>
      <c r="E20" s="228">
        <v>936</v>
      </c>
      <c r="F20" s="228">
        <v>380</v>
      </c>
      <c r="G20" s="228">
        <v>380</v>
      </c>
      <c r="J20" s="232" t="s">
        <v>82</v>
      </c>
      <c r="K20" s="232">
        <v>100</v>
      </c>
      <c r="L20" s="232">
        <v>1500</v>
      </c>
      <c r="M20" s="233">
        <v>1</v>
      </c>
      <c r="N20" s="232">
        <v>100</v>
      </c>
      <c r="O20" s="234" t="s">
        <v>583</v>
      </c>
      <c r="P20" s="234" t="s">
        <v>584</v>
      </c>
      <c r="Q20" s="234"/>
      <c r="R20" s="234"/>
      <c r="S20" s="234"/>
      <c r="T20" s="234"/>
      <c r="U20" s="234"/>
      <c r="V20" s="234"/>
      <c r="W20" s="234"/>
    </row>
    <row r="21" spans="2:7">
      <c r="B21" s="176">
        <v>5</v>
      </c>
      <c r="C21" s="227">
        <v>7390</v>
      </c>
      <c r="D21" s="227">
        <v>9030</v>
      </c>
      <c r="E21" s="228">
        <v>936</v>
      </c>
      <c r="F21" s="228">
        <v>380</v>
      </c>
      <c r="G21" s="228">
        <v>380</v>
      </c>
    </row>
    <row r="22" spans="2:7">
      <c r="B22" s="176">
        <v>6</v>
      </c>
      <c r="C22" s="227">
        <v>10820</v>
      </c>
      <c r="D22" s="227">
        <v>13220</v>
      </c>
      <c r="E22" s="228">
        <v>936</v>
      </c>
      <c r="F22" s="228">
        <v>380</v>
      </c>
      <c r="G22" s="228">
        <v>380</v>
      </c>
    </row>
    <row r="23" spans="2:7">
      <c r="B23" s="176">
        <v>7</v>
      </c>
      <c r="C23" s="227">
        <v>16250</v>
      </c>
      <c r="D23" s="227">
        <v>19790</v>
      </c>
      <c r="E23" s="228">
        <v>936</v>
      </c>
      <c r="F23" s="228">
        <v>380</v>
      </c>
      <c r="G23" s="228">
        <v>380</v>
      </c>
    </row>
    <row r="24" spans="2:7">
      <c r="B24" s="176">
        <v>8</v>
      </c>
      <c r="C24" s="227">
        <v>24450</v>
      </c>
      <c r="D24" s="227">
        <v>29610</v>
      </c>
      <c r="E24" s="228">
        <v>936</v>
      </c>
      <c r="F24" s="228">
        <v>380</v>
      </c>
      <c r="G24" s="228">
        <v>380</v>
      </c>
    </row>
    <row r="25" spans="2:7">
      <c r="B25" s="176">
        <v>9</v>
      </c>
      <c r="C25" s="227">
        <v>35460</v>
      </c>
      <c r="D25" s="227">
        <v>42580</v>
      </c>
      <c r="E25" s="228">
        <v>936</v>
      </c>
      <c r="F25" s="228">
        <v>380</v>
      </c>
      <c r="G25" s="228">
        <v>380</v>
      </c>
    </row>
    <row r="26" spans="2:7">
      <c r="B26" s="176">
        <v>10</v>
      </c>
      <c r="C26" s="227">
        <v>51180</v>
      </c>
      <c r="D26" s="227">
        <v>60890</v>
      </c>
      <c r="E26" s="228">
        <v>936</v>
      </c>
      <c r="F26" s="228">
        <v>380</v>
      </c>
      <c r="G26" s="228">
        <v>380</v>
      </c>
    </row>
    <row r="27" spans="2:7">
      <c r="B27" s="229"/>
      <c r="C27" s="229"/>
      <c r="D27" s="229"/>
      <c r="E27" s="230"/>
      <c r="F27" s="229"/>
      <c r="G27" s="229"/>
    </row>
    <row r="28" spans="2:7">
      <c r="B28" s="231"/>
      <c r="F28" s="231"/>
      <c r="G28" s="231"/>
    </row>
    <row r="29" spans="2:7">
      <c r="B29" s="231"/>
      <c r="F29" s="231"/>
      <c r="G29" s="231"/>
    </row>
    <row r="30" spans="2:7">
      <c r="B30" s="231"/>
      <c r="F30" s="231"/>
      <c r="G30" s="231"/>
    </row>
    <row r="31" spans="7:7">
      <c r="G31" s="231"/>
    </row>
    <row r="32" spans="7:7">
      <c r="G32" s="231"/>
    </row>
    <row r="36" spans="5:5">
      <c r="E36" s="231"/>
    </row>
  </sheetData>
  <sheetProtection algorithmName="SHA-512" hashValue="6x1/LAzsvCpk/A2PH0duA1fzEjGgW6WLInNphXh6d5vx+gmppIk8VpFbWuzy4SQXKiP851IN7aC0gjxFQ3PUig==" saltValue="4Zy5j5qOipf5lYXWRKe8zg==" spinCount="100000" sheet="1" objects="1" scenarios="1"/>
  <protectedRanges>
    <protectedRange sqref="F12 C3 C6:H7 C10:C12" name="区域1"/>
    <protectedRange sqref="E17:G26" name="区域1_1"/>
    <protectedRange sqref="C17:D26" name="区域1_2"/>
  </protectedRanges>
  <mergeCells count="14">
    <mergeCell ref="P2:W2"/>
    <mergeCell ref="P3:W3"/>
    <mergeCell ref="P5:W5"/>
    <mergeCell ref="P6:W6"/>
    <mergeCell ref="P7:W7"/>
    <mergeCell ref="P9:W9"/>
    <mergeCell ref="P10:W10"/>
    <mergeCell ref="P11:W11"/>
    <mergeCell ref="P12:W12"/>
    <mergeCell ref="P17:W17"/>
    <mergeCell ref="P18:W18"/>
    <mergeCell ref="P19:W19"/>
    <mergeCell ref="P20:W20"/>
    <mergeCell ref="B2:B3"/>
  </mergeCells>
  <conditionalFormatting sqref="D5">
    <cfRule type="cellIs" dxfId="2" priority="1" operator="equal">
      <formula>"x"</formula>
    </cfRule>
  </conditionalFormatting>
  <conditionalFormatting sqref="C5 E5:H5">
    <cfRule type="cellIs" dxfId="2" priority="3" operator="equal">
      <formula>"x"</formula>
    </cfRule>
  </conditionalFormatting>
  <conditionalFormatting sqref="E17:G26">
    <cfRule type="cellIs" dxfId="5" priority="2" operator="notBetween">
      <formula>100</formula>
      <formula>1500</formula>
    </cfRule>
  </conditionalFormatting>
  <dataValidations count="6">
    <dataValidation type="list" allowBlank="1" showInputMessage="1" showErrorMessage="1" sqref="C10:C12">
      <formula1>data!$I$1:$I$7</formula1>
    </dataValidation>
    <dataValidation type="list" allowBlank="1" showInputMessage="1" showErrorMessage="1" sqref="C6:H6">
      <formula1>data!$O$1:$O$4</formula1>
    </dataValidation>
    <dataValidation type="list" allowBlank="1" showInputMessage="1" showErrorMessage="1" sqref="C3">
      <formula1>data!$R$1:$R$2</formula1>
    </dataValidation>
    <dataValidation type="list" allowBlank="1" showInputMessage="1" showErrorMessage="1" sqref="J3 J6:J7 J18:J20">
      <formula1>list_Unit</formula1>
    </dataValidation>
    <dataValidation type="decimal" operator="between" allowBlank="1" showInputMessage="1" showErrorMessage="1" sqref="C7:H7">
      <formula1>$K$7</formula1>
      <formula2>$L$7</formula2>
    </dataValidation>
    <dataValidation type="list" allowBlank="1" showInputMessage="1" showErrorMessage="1" error="Invalid value!" sqref="J15 J10:J12">
      <formula1>list_Unit</formula1>
    </dataValidation>
  </dataValidations>
  <pageMargins left="0.7" right="0.7" top="0.75" bottom="0.75" header="0.3" footer="0.3"/>
  <pageSetup paperSize="9" orientation="portrait" horizontalDpi="1200" verticalDpi="12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X24"/>
  <sheetViews>
    <sheetView showGridLines="0" zoomScale="85" zoomScaleNormal="85" topLeftCell="B4" workbookViewId="0">
      <selection activeCell="F11" sqref="F11"/>
    </sheetView>
  </sheetViews>
  <sheetFormatPr defaultColWidth="11" defaultRowHeight="16.5"/>
  <cols>
    <col min="1" max="1" width="4.625" style="81" customWidth="1"/>
    <col min="2" max="2" width="29.375" style="81" customWidth="1"/>
    <col min="3" max="4" width="11" style="81"/>
    <col min="5" max="10" width="11.625" style="81" customWidth="1"/>
    <col min="11" max="11" width="11" style="81"/>
    <col min="12" max="12" width="14.375" style="81" customWidth="1"/>
    <col min="13" max="13" width="14.625" style="81" customWidth="1"/>
    <col min="14" max="14" width="17.375" style="81" customWidth="1"/>
    <col min="15" max="15" width="22.125" style="81" customWidth="1"/>
    <col min="16" max="16" width="42" style="160" customWidth="1"/>
    <col min="17" max="17" width="80.375" style="81" customWidth="1"/>
    <col min="18" max="18" width="51.375" style="81" customWidth="1"/>
    <col min="19" max="16384" width="11" style="81"/>
  </cols>
  <sheetData>
    <row r="1" ht="17.25" spans="17:17">
      <c r="Q1" s="81" t="s">
        <v>96</v>
      </c>
    </row>
    <row r="2" ht="17.25" spans="2:24">
      <c r="B2" s="187"/>
      <c r="C2" s="188"/>
      <c r="D2" s="189" t="s">
        <v>236</v>
      </c>
      <c r="E2" s="190" t="s">
        <v>126</v>
      </c>
      <c r="F2" s="190" t="s">
        <v>127</v>
      </c>
      <c r="G2" s="190" t="s">
        <v>128</v>
      </c>
      <c r="H2" s="190" t="s">
        <v>129</v>
      </c>
      <c r="I2" s="190" t="s">
        <v>130</v>
      </c>
      <c r="J2" s="205" t="s">
        <v>131</v>
      </c>
      <c r="X2" s="81" t="s">
        <v>585</v>
      </c>
    </row>
    <row r="3" ht="17.25" spans="2:18">
      <c r="B3" s="191" t="s">
        <v>586</v>
      </c>
      <c r="C3" s="192"/>
      <c r="D3" s="193">
        <f>IF(E3="X",1,0)+(IF(F3="X",1,0)*2)+(IF(G3="X",1,0)*4)+(IF(H3="X",1,0)*8)+(IF(I3="X",1,0)*16)+(IF(J3="X",1,0)*32)+(IF(K3="X",1,0)*64)+(IF(L3="X",1,0)*128)+(IF(M3="X",1,0)*256)+(IF(N3="X",1,0)*512)+(IF(O3="X",1,0)*1024)+(IF(P3="X",1,0)*2048)</f>
        <v>0</v>
      </c>
      <c r="E3" s="194"/>
      <c r="F3" s="194"/>
      <c r="G3" s="194"/>
      <c r="H3" s="194"/>
      <c r="I3" s="194"/>
      <c r="J3" s="206"/>
      <c r="Q3" s="215" t="s">
        <v>587</v>
      </c>
      <c r="R3" s="81">
        <f>IF(D3="X",1,0)+(IF(E3="X",1,0)*2)+(IF(G3="X",1,0)*4)+(IF(H3="X",1,0)*8)+(IF(I3="X",1,0)*16)+(IF(J3="X",1,0)*32)+(IF(K3="X",1,0)*64)+(IF(L3="X",1,0)*128)+(IF(M3="X",1,0)*256)+(IF(N3="X",1,0)*512)+(IF(O3="X",1,0)*1024)+(IF(P3="X",1,0)*2048)</f>
        <v>0</v>
      </c>
    </row>
    <row r="4" ht="17.25" spans="2:10">
      <c r="B4" s="195"/>
      <c r="C4" s="196"/>
      <c r="D4" s="197"/>
      <c r="E4" s="197"/>
      <c r="F4" s="197"/>
      <c r="G4" s="197"/>
      <c r="H4" s="197"/>
      <c r="I4" s="197"/>
      <c r="J4" s="197"/>
    </row>
    <row r="5" ht="17.25" spans="2:10">
      <c r="B5" s="191"/>
      <c r="C5" s="198"/>
      <c r="D5" s="189" t="s">
        <v>236</v>
      </c>
      <c r="E5" s="190" t="s">
        <v>126</v>
      </c>
      <c r="F5" s="190" t="s">
        <v>127</v>
      </c>
      <c r="G5" s="190" t="s">
        <v>128</v>
      </c>
      <c r="H5" s="190" t="s">
        <v>129</v>
      </c>
      <c r="I5" s="190" t="s">
        <v>130</v>
      </c>
      <c r="J5" s="205" t="s">
        <v>131</v>
      </c>
    </row>
    <row r="6" ht="17.25" spans="2:18">
      <c r="B6" s="191" t="s">
        <v>588</v>
      </c>
      <c r="C6" s="192"/>
      <c r="D6" s="193">
        <f>IF(E6="X",1,0)+(IF(F6="X",1,0)*2)+(IF(G6="X",1,0)*4)+(IF(H6="X",1,0)*8)+(IF(I6="X",1,0)*16)+(IF(J6="X",1,0)*32)+(IF(K6="X",1,0)*64)+(IF(L6="X",1,0)*128)+(IF(M6="X",1,0)*256)+(IF(N6="X",1,0)*512)+(IF(O6="X",1,0)*1024)+(IF(P6="X",1,0)*2048)</f>
        <v>0</v>
      </c>
      <c r="E6" s="199"/>
      <c r="F6" s="199"/>
      <c r="G6" s="199"/>
      <c r="H6" s="199"/>
      <c r="I6" s="199"/>
      <c r="J6" s="207"/>
      <c r="Q6" s="215" t="s">
        <v>589</v>
      </c>
      <c r="R6" s="81">
        <f>IF(D6="X",1,0)+(IF(E6="X",1,0)*2)+(IF(G6="X",1,0)*4)+(IF(H6="X",1,0)*8)+(IF(I6="X",1,0)*16)+(IF(J6="X",1,0)*32)+(IF(K6="X",1,0)*64)+(IF(L6="X",1,0)*128)+(IF(M6="X",1,0)*256)+(IF(N6="X",1,0)*512)+(IF(O6="X",1,0)*1024)+(IF(P6="X",1,0)*2048)</f>
        <v>0</v>
      </c>
    </row>
    <row r="8" spans="2:17">
      <c r="B8" s="70" t="s">
        <v>590</v>
      </c>
      <c r="C8" s="70"/>
      <c r="D8" s="176" t="s">
        <v>236</v>
      </c>
      <c r="E8" s="200"/>
      <c r="F8" s="200"/>
      <c r="H8" s="201" t="s">
        <v>176</v>
      </c>
      <c r="I8" s="201" t="s">
        <v>177</v>
      </c>
      <c r="J8" s="201" t="s">
        <v>178</v>
      </c>
      <c r="K8" s="201" t="s">
        <v>179</v>
      </c>
      <c r="L8" s="201" t="s">
        <v>180</v>
      </c>
      <c r="M8" s="208" t="s">
        <v>182</v>
      </c>
      <c r="N8" s="209"/>
      <c r="O8" s="209"/>
      <c r="P8" s="210"/>
      <c r="Q8" s="216" t="s">
        <v>183</v>
      </c>
    </row>
    <row r="9" spans="2:17">
      <c r="B9" s="70" t="s">
        <v>591</v>
      </c>
      <c r="C9" s="70"/>
      <c r="D9" s="202">
        <v>2500</v>
      </c>
      <c r="E9" s="66"/>
      <c r="F9" s="66"/>
      <c r="H9" s="106" t="s">
        <v>67</v>
      </c>
      <c r="I9" s="106">
        <v>100</v>
      </c>
      <c r="J9" s="106">
        <v>2550</v>
      </c>
      <c r="K9" s="108">
        <v>1</v>
      </c>
      <c r="L9" s="106">
        <v>100</v>
      </c>
      <c r="M9" s="211" t="s">
        <v>592</v>
      </c>
      <c r="N9" s="212"/>
      <c r="O9" s="212"/>
      <c r="P9" s="213"/>
      <c r="Q9" s="217"/>
    </row>
    <row r="10" ht="35.1" customHeight="1" spans="2:17">
      <c r="B10" s="70" t="s">
        <v>593</v>
      </c>
      <c r="C10" s="70"/>
      <c r="D10" s="202">
        <v>0</v>
      </c>
      <c r="E10" s="66"/>
      <c r="F10" s="66"/>
      <c r="H10" s="106" t="s">
        <v>82</v>
      </c>
      <c r="I10" s="106">
        <v>0</v>
      </c>
      <c r="J10" s="106">
        <v>2000</v>
      </c>
      <c r="K10" s="108">
        <v>1</v>
      </c>
      <c r="L10" s="106">
        <v>0</v>
      </c>
      <c r="M10" s="211" t="s">
        <v>594</v>
      </c>
      <c r="N10" s="212"/>
      <c r="O10" s="212"/>
      <c r="P10" s="213"/>
      <c r="Q10" s="217" t="s">
        <v>595</v>
      </c>
    </row>
    <row r="11" spans="2:17">
      <c r="B11" s="70" t="s">
        <v>596</v>
      </c>
      <c r="C11" s="70"/>
      <c r="D11" s="202">
        <v>20</v>
      </c>
      <c r="E11" s="66"/>
      <c r="F11" s="66"/>
      <c r="H11" s="106" t="s">
        <v>90</v>
      </c>
      <c r="I11" s="106">
        <v>1</v>
      </c>
      <c r="J11" s="106">
        <v>20</v>
      </c>
      <c r="K11" s="108">
        <v>1</v>
      </c>
      <c r="L11" s="106">
        <v>20</v>
      </c>
      <c r="M11" s="211" t="s">
        <v>597</v>
      </c>
      <c r="N11" s="212"/>
      <c r="O11" s="212"/>
      <c r="P11" s="213"/>
      <c r="Q11" s="217"/>
    </row>
    <row r="12" spans="2:17">
      <c r="B12" s="70" t="s">
        <v>598</v>
      </c>
      <c r="C12" s="70"/>
      <c r="D12" s="202">
        <v>5000</v>
      </c>
      <c r="E12" s="66"/>
      <c r="F12" s="66"/>
      <c r="H12" s="106" t="s">
        <v>67</v>
      </c>
      <c r="I12" s="106">
        <v>100</v>
      </c>
      <c r="J12" s="106">
        <v>5100</v>
      </c>
      <c r="K12" s="108">
        <v>1</v>
      </c>
      <c r="L12" s="106">
        <v>100</v>
      </c>
      <c r="M12" s="211" t="s">
        <v>599</v>
      </c>
      <c r="N12" s="212"/>
      <c r="O12" s="212"/>
      <c r="P12" s="213"/>
      <c r="Q12" s="217" t="s">
        <v>600</v>
      </c>
    </row>
    <row r="13" spans="2:17">
      <c r="B13" s="70" t="s">
        <v>601</v>
      </c>
      <c r="C13" s="70"/>
      <c r="D13" s="203">
        <v>0.5</v>
      </c>
      <c r="E13" s="66"/>
      <c r="F13" s="66"/>
      <c r="H13" s="106" t="s">
        <v>602</v>
      </c>
      <c r="I13" s="214">
        <v>0</v>
      </c>
      <c r="J13" s="214">
        <v>25</v>
      </c>
      <c r="K13" s="108">
        <v>0.1</v>
      </c>
      <c r="L13" s="106">
        <v>0</v>
      </c>
      <c r="M13" s="211" t="s">
        <v>603</v>
      </c>
      <c r="N13" s="212"/>
      <c r="O13" s="212"/>
      <c r="P13" s="213"/>
      <c r="Q13" s="217"/>
    </row>
    <row r="14" spans="2:17">
      <c r="B14" s="70" t="s">
        <v>604</v>
      </c>
      <c r="C14" s="70"/>
      <c r="D14" s="202">
        <v>20</v>
      </c>
      <c r="H14" s="106" t="s">
        <v>90</v>
      </c>
      <c r="I14" s="106">
        <v>1</v>
      </c>
      <c r="J14" s="106">
        <v>20</v>
      </c>
      <c r="K14" s="108">
        <v>1</v>
      </c>
      <c r="L14" s="106">
        <v>20</v>
      </c>
      <c r="M14" s="211" t="s">
        <v>605</v>
      </c>
      <c r="N14" s="212"/>
      <c r="O14" s="212"/>
      <c r="P14" s="213"/>
      <c r="Q14" s="217"/>
    </row>
    <row r="15" ht="31.5" customHeight="1" spans="2:17">
      <c r="B15" s="70" t="s">
        <v>606</v>
      </c>
      <c r="C15" s="70"/>
      <c r="D15" s="204">
        <v>0</v>
      </c>
      <c r="H15" s="106" t="s">
        <v>602</v>
      </c>
      <c r="I15" s="106">
        <v>0</v>
      </c>
      <c r="J15" s="106">
        <v>25</v>
      </c>
      <c r="K15" s="108">
        <v>1</v>
      </c>
      <c r="L15" s="106">
        <v>0</v>
      </c>
      <c r="M15" s="211" t="s">
        <v>607</v>
      </c>
      <c r="N15" s="212"/>
      <c r="O15" s="212"/>
      <c r="P15" s="213"/>
      <c r="Q15" s="217"/>
    </row>
    <row r="16" spans="2:17">
      <c r="B16" s="70" t="s">
        <v>608</v>
      </c>
      <c r="C16" s="70"/>
      <c r="D16" s="202">
        <v>1</v>
      </c>
      <c r="H16" s="106" t="s">
        <v>91</v>
      </c>
      <c r="I16" s="106">
        <v>1</v>
      </c>
      <c r="J16" s="106">
        <v>2</v>
      </c>
      <c r="K16" s="108">
        <v>1</v>
      </c>
      <c r="L16" s="106">
        <v>1</v>
      </c>
      <c r="M16" s="211" t="s">
        <v>609</v>
      </c>
      <c r="N16" s="212"/>
      <c r="O16" s="212"/>
      <c r="P16" s="213"/>
      <c r="Q16" s="217"/>
    </row>
    <row r="17" spans="2:17">
      <c r="B17" s="70" t="s">
        <v>610</v>
      </c>
      <c r="C17" s="70"/>
      <c r="D17" s="202">
        <v>5</v>
      </c>
      <c r="E17" s="66"/>
      <c r="F17" s="66"/>
      <c r="H17" s="106" t="s">
        <v>203</v>
      </c>
      <c r="I17" s="106">
        <v>0</v>
      </c>
      <c r="J17" s="106">
        <v>9</v>
      </c>
      <c r="K17" s="108">
        <v>1</v>
      </c>
      <c r="L17" s="106">
        <v>0</v>
      </c>
      <c r="M17" s="211" t="s">
        <v>611</v>
      </c>
      <c r="N17" s="212"/>
      <c r="O17" s="212"/>
      <c r="P17" s="213"/>
      <c r="Q17" s="218"/>
    </row>
    <row r="18" spans="2:17">
      <c r="B18" s="70" t="s">
        <v>612</v>
      </c>
      <c r="C18" s="70"/>
      <c r="D18" s="202">
        <v>50</v>
      </c>
      <c r="H18" s="106" t="s">
        <v>203</v>
      </c>
      <c r="I18" s="106">
        <v>20</v>
      </c>
      <c r="J18" s="106">
        <v>70</v>
      </c>
      <c r="K18" s="108">
        <v>1</v>
      </c>
      <c r="L18" s="106">
        <v>20</v>
      </c>
      <c r="M18" s="211" t="s">
        <v>613</v>
      </c>
      <c r="N18" s="212"/>
      <c r="O18" s="212"/>
      <c r="P18" s="213"/>
      <c r="Q18" s="217" t="s">
        <v>614</v>
      </c>
    </row>
    <row r="19" customHeight="1" spans="2:17">
      <c r="B19" s="70" t="s">
        <v>615</v>
      </c>
      <c r="C19" s="70"/>
      <c r="D19" s="202">
        <v>70</v>
      </c>
      <c r="H19" s="106" t="s">
        <v>203</v>
      </c>
      <c r="I19" s="106">
        <v>70</v>
      </c>
      <c r="J19" s="106">
        <v>140</v>
      </c>
      <c r="K19" s="108">
        <v>1</v>
      </c>
      <c r="L19" s="106">
        <v>140</v>
      </c>
      <c r="M19" s="211" t="s">
        <v>616</v>
      </c>
      <c r="N19" s="212"/>
      <c r="O19" s="212"/>
      <c r="P19" s="213"/>
      <c r="Q19" s="217" t="s">
        <v>614</v>
      </c>
    </row>
    <row r="20" spans="2:17">
      <c r="B20" s="70" t="s">
        <v>617</v>
      </c>
      <c r="C20" s="70"/>
      <c r="D20" s="202">
        <v>100</v>
      </c>
      <c r="H20" s="106" t="s">
        <v>90</v>
      </c>
      <c r="I20" s="106">
        <v>20</v>
      </c>
      <c r="J20" s="106">
        <v>100</v>
      </c>
      <c r="K20" s="108">
        <v>1</v>
      </c>
      <c r="L20" s="106">
        <v>20</v>
      </c>
      <c r="M20" s="211" t="s">
        <v>618</v>
      </c>
      <c r="N20" s="212"/>
      <c r="O20" s="212"/>
      <c r="P20" s="213"/>
      <c r="Q20" s="217" t="s">
        <v>614</v>
      </c>
    </row>
    <row r="21" spans="2:17">
      <c r="B21" s="70" t="s">
        <v>619</v>
      </c>
      <c r="C21" s="70"/>
      <c r="D21" s="202">
        <v>100</v>
      </c>
      <c r="H21" s="106" t="s">
        <v>90</v>
      </c>
      <c r="I21" s="106">
        <v>20</v>
      </c>
      <c r="J21" s="106">
        <v>100</v>
      </c>
      <c r="K21" s="108">
        <v>1</v>
      </c>
      <c r="L21" s="106">
        <v>100</v>
      </c>
      <c r="M21" s="211" t="s">
        <v>620</v>
      </c>
      <c r="N21" s="212"/>
      <c r="O21" s="212"/>
      <c r="P21" s="213"/>
      <c r="Q21" s="217" t="s">
        <v>614</v>
      </c>
    </row>
    <row r="22" customHeight="1" spans="2:17">
      <c r="B22" s="70" t="s">
        <v>621</v>
      </c>
      <c r="C22" s="70"/>
      <c r="D22" s="202">
        <v>1</v>
      </c>
      <c r="E22" s="81" t="s">
        <v>622</v>
      </c>
      <c r="H22" s="106"/>
      <c r="I22" s="106">
        <v>0</v>
      </c>
      <c r="J22" s="106">
        <v>4</v>
      </c>
      <c r="K22" s="108">
        <v>1</v>
      </c>
      <c r="L22" s="106">
        <v>1</v>
      </c>
      <c r="M22" s="211" t="s">
        <v>623</v>
      </c>
      <c r="N22" s="212"/>
      <c r="O22" s="212"/>
      <c r="P22" s="213"/>
      <c r="Q22" s="217"/>
    </row>
    <row r="23" customHeight="1" spans="2:17">
      <c r="B23" s="70" t="s">
        <v>624</v>
      </c>
      <c r="C23" s="70"/>
      <c r="D23" s="202">
        <v>1</v>
      </c>
      <c r="H23" s="106"/>
      <c r="I23" s="106">
        <v>0</v>
      </c>
      <c r="J23" s="106">
        <v>4</v>
      </c>
      <c r="K23" s="108">
        <v>1</v>
      </c>
      <c r="L23" s="106">
        <v>1</v>
      </c>
      <c r="M23" s="211" t="s">
        <v>625</v>
      </c>
      <c r="N23" s="212"/>
      <c r="O23" s="212"/>
      <c r="P23" s="213"/>
      <c r="Q23" s="217"/>
    </row>
    <row r="24" ht="30" customHeight="1" spans="2:17">
      <c r="B24" s="70" t="s">
        <v>626</v>
      </c>
      <c r="C24" s="70"/>
      <c r="D24" s="202">
        <v>1</v>
      </c>
      <c r="H24" s="106"/>
      <c r="I24" s="106">
        <v>0</v>
      </c>
      <c r="J24" s="106">
        <v>16</v>
      </c>
      <c r="K24" s="108">
        <v>2</v>
      </c>
      <c r="L24" s="106">
        <v>1</v>
      </c>
      <c r="M24" s="211" t="s">
        <v>627</v>
      </c>
      <c r="N24" s="212"/>
      <c r="O24" s="212"/>
      <c r="P24" s="213"/>
      <c r="Q24" s="217"/>
    </row>
  </sheetData>
  <protectedRanges>
    <protectedRange algorithmName="SHA-512" hashValue="jh/an8waQPJe1lzLqaiJsT4PKTzHo9eKLHjuGb8/DQCEdRENbuOdBVJ+siWpQc3WRRnsA8tn8793NhHmLaWbJQ==" saltValue="X06JkIo3cT9DuqEpD7dDGQ==" spinCount="100000" sqref="E3:J3 E6:J6" name="区域1"/>
    <protectedRange sqref="D9:D21" name="区域1_1"/>
  </protectedRanges>
  <mergeCells count="33">
    <mergeCell ref="B8:C8"/>
    <mergeCell ref="B9:C9"/>
    <mergeCell ref="M9:P9"/>
    <mergeCell ref="B10:C10"/>
    <mergeCell ref="M10:P10"/>
    <mergeCell ref="B11:C11"/>
    <mergeCell ref="M11:P11"/>
    <mergeCell ref="B12:C12"/>
    <mergeCell ref="M12:P12"/>
    <mergeCell ref="B13:C13"/>
    <mergeCell ref="M13:P13"/>
    <mergeCell ref="B14:C14"/>
    <mergeCell ref="M14:P14"/>
    <mergeCell ref="B15:C15"/>
    <mergeCell ref="M15:P15"/>
    <mergeCell ref="B16:C16"/>
    <mergeCell ref="M16:P16"/>
    <mergeCell ref="B17:C17"/>
    <mergeCell ref="M17:P17"/>
    <mergeCell ref="B18:C18"/>
    <mergeCell ref="M18:P18"/>
    <mergeCell ref="B19:C19"/>
    <mergeCell ref="M19:P19"/>
    <mergeCell ref="B20:C20"/>
    <mergeCell ref="M20:P20"/>
    <mergeCell ref="B21:C21"/>
    <mergeCell ref="M21:P21"/>
    <mergeCell ref="B22:C22"/>
    <mergeCell ref="M22:P22"/>
    <mergeCell ref="B23:C23"/>
    <mergeCell ref="M23:P23"/>
    <mergeCell ref="B24:C24"/>
    <mergeCell ref="M24:P24"/>
  </mergeCells>
  <conditionalFormatting sqref="E3:J3">
    <cfRule type="containsText" dxfId="1" priority="12" operator="between" text="X">
      <formula>NOT(ISERROR(SEARCH("X",E3)))</formula>
    </cfRule>
    <cfRule type="containsBlanks" dxfId="6" priority="15">
      <formula>LEN(TRIM(E3))=0</formula>
    </cfRule>
  </conditionalFormatting>
  <conditionalFormatting sqref="D4:J4">
    <cfRule type="containsText" dxfId="0" priority="13" operator="between" text="X">
      <formula>NOT(ISERROR(SEARCH("X",D4)))</formula>
    </cfRule>
  </conditionalFormatting>
  <conditionalFormatting sqref="E6:J6">
    <cfRule type="containsBlanks" dxfId="6" priority="9">
      <formula>LEN(TRIM(E6))=0</formula>
    </cfRule>
    <cfRule type="containsText" dxfId="1" priority="11" operator="between" text="X">
      <formula>NOT(ISERROR(SEARCH("X",E6)))</formula>
    </cfRule>
  </conditionalFormatting>
  <conditionalFormatting sqref="K9:K21">
    <cfRule type="cellIs" dxfId="5" priority="14" operator="notBetween">
      <formula>$J9</formula>
      <formula>$K9</formula>
    </cfRule>
  </conditionalFormatting>
  <conditionalFormatting sqref="K22:K24">
    <cfRule type="cellIs" dxfId="5" priority="1" operator="notBetween">
      <formula>$J22</formula>
      <formula>$K22</formula>
    </cfRule>
  </conditionalFormatting>
  <dataValidations count="3">
    <dataValidation type="list" showInputMessage="1" showErrorMessage="1" sqref="E3:J3 E6:J6">
      <formula1>$X$2</formula1>
    </dataValidation>
    <dataValidation type="decimal" operator="between" allowBlank="1" showInputMessage="1" showErrorMessage="1" sqref="D9:D21">
      <formula1>I9</formula1>
      <formula2>J9</formula2>
    </dataValidation>
    <dataValidation type="list" allowBlank="1" showInputMessage="1" showErrorMessage="1" error="Invalid value!" sqref="H9:H24">
      <formula1>list_Unit</formula1>
    </dataValidation>
  </dataValidations>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2:O29"/>
  <sheetViews>
    <sheetView showGridLines="0" zoomScale="130" zoomScaleNormal="130" topLeftCell="A2" workbookViewId="0">
      <selection activeCell="C11" sqref="C11:C15"/>
    </sheetView>
  </sheetViews>
  <sheetFormatPr defaultColWidth="9" defaultRowHeight="16.5"/>
  <cols>
    <col min="1" max="1" width="4.875" style="81" customWidth="1"/>
    <col min="2" max="2" width="34.625" style="81" customWidth="1"/>
    <col min="3" max="3" width="9.375" style="158" customWidth="1"/>
    <col min="4" max="4" width="22.25" style="159" customWidth="1"/>
    <col min="5" max="5" width="41.375" style="160" customWidth="1"/>
    <col min="6" max="6" width="13.25" style="81" customWidth="1"/>
    <col min="7" max="7" width="6.75" style="81" customWidth="1"/>
    <col min="8" max="10" width="9" style="81"/>
    <col min="11" max="11" width="10" style="81" customWidth="1"/>
    <col min="12" max="12" width="81.375" style="161" customWidth="1"/>
    <col min="13" max="13" width="53.375" style="81" customWidth="1"/>
    <col min="14" max="14" width="27.375" style="81" customWidth="1"/>
    <col min="15" max="15" width="24.375" style="162" customWidth="1"/>
    <col min="16" max="16" width="19.375" style="81" customWidth="1"/>
    <col min="17" max="17" width="9" style="81"/>
    <col min="18" max="18" width="31.25" style="81" customWidth="1"/>
    <col min="19" max="16384" width="9" style="81"/>
  </cols>
  <sheetData>
    <row r="2" ht="18.6" customHeight="1"/>
    <row r="3" ht="18.6" customHeight="1" spans="2:15">
      <c r="B3" s="70" t="s">
        <v>628</v>
      </c>
      <c r="C3" s="74" t="s">
        <v>236</v>
      </c>
      <c r="D3" s="163"/>
      <c r="F3" s="96" t="s">
        <v>629</v>
      </c>
      <c r="G3" s="96" t="s">
        <v>176</v>
      </c>
      <c r="H3" s="70" t="s">
        <v>177</v>
      </c>
      <c r="I3" s="70" t="s">
        <v>178</v>
      </c>
      <c r="J3" s="70" t="s">
        <v>179</v>
      </c>
      <c r="K3" s="70" t="s">
        <v>180</v>
      </c>
      <c r="L3" s="176" t="s">
        <v>182</v>
      </c>
      <c r="M3" s="123" t="s">
        <v>183</v>
      </c>
      <c r="N3" s="177" t="s">
        <v>630</v>
      </c>
      <c r="O3" s="178" t="s">
        <v>631</v>
      </c>
    </row>
    <row r="4" s="64" customFormat="1" ht="18" customHeight="1" outlineLevel="1" spans="1:15">
      <c r="A4" s="81"/>
      <c r="B4" s="164" t="s">
        <v>632</v>
      </c>
      <c r="C4" s="85">
        <v>1</v>
      </c>
      <c r="D4" s="165"/>
      <c r="E4" s="166" t="s">
        <v>633</v>
      </c>
      <c r="F4" s="103" t="s">
        <v>634</v>
      </c>
      <c r="G4" s="103" t="s">
        <v>91</v>
      </c>
      <c r="H4" s="103">
        <v>0</v>
      </c>
      <c r="I4" s="103">
        <v>1</v>
      </c>
      <c r="J4" s="179">
        <v>1</v>
      </c>
      <c r="K4" s="103"/>
      <c r="L4" s="180" t="s">
        <v>635</v>
      </c>
      <c r="M4" s="181"/>
      <c r="N4" s="182">
        <f>1/(POWER(2,30))</f>
        <v>9.31322574615479e-10</v>
      </c>
      <c r="O4" s="182" t="s">
        <v>636</v>
      </c>
    </row>
    <row r="5" s="64" customFormat="1" ht="18.6" customHeight="1" outlineLevel="1" spans="1:15">
      <c r="A5" s="81"/>
      <c r="B5" s="164" t="s">
        <v>637</v>
      </c>
      <c r="C5" s="85">
        <v>1</v>
      </c>
      <c r="D5" s="165"/>
      <c r="E5" s="166" t="s">
        <v>638</v>
      </c>
      <c r="F5" s="103" t="s">
        <v>634</v>
      </c>
      <c r="G5" s="103" t="s">
        <v>639</v>
      </c>
      <c r="H5" s="103">
        <v>0</v>
      </c>
      <c r="I5" s="103">
        <v>1</v>
      </c>
      <c r="J5" s="179">
        <v>1</v>
      </c>
      <c r="K5" s="103"/>
      <c r="L5" s="180" t="s">
        <v>640</v>
      </c>
      <c r="M5" s="182"/>
      <c r="N5" s="182">
        <f>1/(POWER(2,30))</f>
        <v>9.31322574615479e-10</v>
      </c>
      <c r="O5" s="183" t="s">
        <v>641</v>
      </c>
    </row>
    <row r="6" ht="18.6" customHeight="1"/>
    <row r="7" ht="18.6" customHeight="1" outlineLevel="1" spans="2:5">
      <c r="B7" s="70" t="s">
        <v>642</v>
      </c>
      <c r="C7" s="74" t="s">
        <v>236</v>
      </c>
      <c r="D7" s="165" t="s">
        <v>643</v>
      </c>
      <c r="E7" s="167" t="s">
        <v>96</v>
      </c>
    </row>
    <row r="8" ht="18.6" customHeight="1" outlineLevel="1" spans="2:13">
      <c r="B8" s="164" t="s">
        <v>644</v>
      </c>
      <c r="C8" s="168">
        <v>1</v>
      </c>
      <c r="D8" s="169" t="s">
        <v>645</v>
      </c>
      <c r="E8" s="170" t="s">
        <v>646</v>
      </c>
      <c r="F8" s="103" t="s">
        <v>634</v>
      </c>
      <c r="G8" s="171" t="s">
        <v>90</v>
      </c>
      <c r="H8" s="103">
        <v>0</v>
      </c>
      <c r="I8" s="103">
        <v>100</v>
      </c>
      <c r="J8" s="184">
        <v>0.1</v>
      </c>
      <c r="K8" s="103">
        <v>6</v>
      </c>
      <c r="L8" s="185" t="s">
        <v>647</v>
      </c>
      <c r="M8" s="186" t="s">
        <v>646</v>
      </c>
    </row>
    <row r="9" ht="18.6" customHeight="1" outlineLevel="1" spans="2:13">
      <c r="B9" s="164" t="s">
        <v>648</v>
      </c>
      <c r="C9" s="172">
        <v>93</v>
      </c>
      <c r="D9" s="169" t="s">
        <v>645</v>
      </c>
      <c r="E9" s="170" t="s">
        <v>649</v>
      </c>
      <c r="F9" s="103" t="s">
        <v>634</v>
      </c>
      <c r="G9" s="171" t="s">
        <v>90</v>
      </c>
      <c r="H9" s="103">
        <v>0</v>
      </c>
      <c r="I9" s="103">
        <v>100</v>
      </c>
      <c r="J9" s="184">
        <v>0.1</v>
      </c>
      <c r="K9" s="103">
        <v>93</v>
      </c>
      <c r="L9" s="185" t="s">
        <v>650</v>
      </c>
      <c r="M9" s="186" t="s">
        <v>649</v>
      </c>
    </row>
    <row r="10" ht="18.6" customHeight="1" outlineLevel="1" spans="2:13">
      <c r="B10" s="164" t="s">
        <v>651</v>
      </c>
      <c r="C10" s="173">
        <v>600</v>
      </c>
      <c r="D10" s="169" t="s">
        <v>645</v>
      </c>
      <c r="E10" s="170" t="s">
        <v>652</v>
      </c>
      <c r="F10" s="103" t="s">
        <v>634</v>
      </c>
      <c r="G10" s="171" t="s">
        <v>82</v>
      </c>
      <c r="H10" s="103">
        <v>200</v>
      </c>
      <c r="I10" s="103">
        <v>1100</v>
      </c>
      <c r="J10" s="179">
        <v>1</v>
      </c>
      <c r="K10" s="103">
        <v>800</v>
      </c>
      <c r="L10" s="185" t="s">
        <v>653</v>
      </c>
      <c r="M10" s="186" t="s">
        <v>652</v>
      </c>
    </row>
    <row r="11" ht="18.6" customHeight="1" outlineLevel="1" spans="2:13">
      <c r="B11" s="164" t="s">
        <v>654</v>
      </c>
      <c r="C11" s="174">
        <v>50</v>
      </c>
      <c r="D11" s="169" t="s">
        <v>645</v>
      </c>
      <c r="E11" s="170" t="s">
        <v>655</v>
      </c>
      <c r="F11" s="103" t="s">
        <v>634</v>
      </c>
      <c r="G11" s="171" t="s">
        <v>90</v>
      </c>
      <c r="H11" s="103">
        <v>0</v>
      </c>
      <c r="I11" s="103">
        <v>100</v>
      </c>
      <c r="J11" s="184">
        <v>0.1</v>
      </c>
      <c r="K11" s="103">
        <v>20</v>
      </c>
      <c r="L11" s="185" t="s">
        <v>656</v>
      </c>
      <c r="M11" s="186" t="s">
        <v>655</v>
      </c>
    </row>
    <row r="12" ht="18.6" customHeight="1" outlineLevel="1" spans="2:13">
      <c r="B12" s="164" t="s">
        <v>657</v>
      </c>
      <c r="C12" s="174">
        <v>60</v>
      </c>
      <c r="D12" s="169" t="s">
        <v>645</v>
      </c>
      <c r="E12" s="170" t="s">
        <v>658</v>
      </c>
      <c r="F12" s="103" t="s">
        <v>634</v>
      </c>
      <c r="G12" s="171" t="s">
        <v>90</v>
      </c>
      <c r="H12" s="103">
        <v>0</v>
      </c>
      <c r="I12" s="103">
        <v>100</v>
      </c>
      <c r="J12" s="184">
        <v>0.1</v>
      </c>
      <c r="K12" s="103">
        <v>40</v>
      </c>
      <c r="L12" s="185" t="s">
        <v>659</v>
      </c>
      <c r="M12" s="186" t="s">
        <v>658</v>
      </c>
    </row>
    <row r="13" ht="18.6" customHeight="1" outlineLevel="1" spans="2:13">
      <c r="B13" s="164" t="s">
        <v>660</v>
      </c>
      <c r="C13" s="174">
        <v>72</v>
      </c>
      <c r="D13" s="169" t="s">
        <v>645</v>
      </c>
      <c r="E13" s="170" t="s">
        <v>661</v>
      </c>
      <c r="F13" s="103" t="s">
        <v>634</v>
      </c>
      <c r="G13" s="171" t="s">
        <v>90</v>
      </c>
      <c r="H13" s="103">
        <v>0</v>
      </c>
      <c r="I13" s="103">
        <v>100</v>
      </c>
      <c r="J13" s="184">
        <v>0.1</v>
      </c>
      <c r="K13" s="103">
        <v>60</v>
      </c>
      <c r="L13" s="185" t="s">
        <v>662</v>
      </c>
      <c r="M13" s="186" t="s">
        <v>661</v>
      </c>
    </row>
    <row r="14" ht="18.6" customHeight="1" outlineLevel="1" spans="2:13">
      <c r="B14" s="164" t="s">
        <v>663</v>
      </c>
      <c r="C14" s="174">
        <v>72</v>
      </c>
      <c r="D14" s="169" t="s">
        <v>645</v>
      </c>
      <c r="E14" s="170" t="s">
        <v>664</v>
      </c>
      <c r="F14" s="103" t="s">
        <v>634</v>
      </c>
      <c r="G14" s="171" t="s">
        <v>90</v>
      </c>
      <c r="H14" s="103">
        <v>0</v>
      </c>
      <c r="I14" s="103">
        <v>100</v>
      </c>
      <c r="J14" s="184">
        <v>0.1</v>
      </c>
      <c r="K14" s="103">
        <v>80</v>
      </c>
      <c r="L14" s="185" t="s">
        <v>665</v>
      </c>
      <c r="M14" s="186" t="s">
        <v>664</v>
      </c>
    </row>
    <row r="15" ht="18.6" customHeight="1" outlineLevel="1" spans="2:13">
      <c r="B15" s="164" t="s">
        <v>666</v>
      </c>
      <c r="C15" s="174">
        <v>72</v>
      </c>
      <c r="D15" s="169" t="s">
        <v>645</v>
      </c>
      <c r="E15" s="170" t="s">
        <v>667</v>
      </c>
      <c r="F15" s="103" t="s">
        <v>634</v>
      </c>
      <c r="G15" s="171" t="s">
        <v>90</v>
      </c>
      <c r="H15" s="103">
        <v>0</v>
      </c>
      <c r="I15" s="103">
        <v>100</v>
      </c>
      <c r="J15" s="184">
        <v>0.1</v>
      </c>
      <c r="K15" s="103">
        <v>100</v>
      </c>
      <c r="L15" s="185" t="s">
        <v>668</v>
      </c>
      <c r="M15" s="186" t="s">
        <v>667</v>
      </c>
    </row>
    <row r="16" ht="18.6" customHeight="1" outlineLevel="1" spans="2:13">
      <c r="B16" s="164" t="s">
        <v>669</v>
      </c>
      <c r="C16" s="172">
        <v>40</v>
      </c>
      <c r="D16" s="169" t="s">
        <v>645</v>
      </c>
      <c r="E16" s="170" t="s">
        <v>670</v>
      </c>
      <c r="F16" s="103" t="s">
        <v>634</v>
      </c>
      <c r="G16" s="171" t="s">
        <v>90</v>
      </c>
      <c r="H16" s="103">
        <v>0</v>
      </c>
      <c r="I16" s="103">
        <v>100</v>
      </c>
      <c r="J16" s="184">
        <v>0.1</v>
      </c>
      <c r="K16" s="103">
        <v>60</v>
      </c>
      <c r="L16" s="185" t="s">
        <v>671</v>
      </c>
      <c r="M16" s="186" t="s">
        <v>670</v>
      </c>
    </row>
    <row r="17" ht="18.6" customHeight="1" outlineLevel="1" spans="2:13">
      <c r="B17" s="164" t="s">
        <v>672</v>
      </c>
      <c r="C17" s="174">
        <v>20</v>
      </c>
      <c r="D17" s="169" t="s">
        <v>645</v>
      </c>
      <c r="E17" s="170" t="s">
        <v>673</v>
      </c>
      <c r="F17" s="103" t="s">
        <v>634</v>
      </c>
      <c r="G17" s="171" t="s">
        <v>90</v>
      </c>
      <c r="H17" s="103">
        <v>0</v>
      </c>
      <c r="I17" s="103">
        <v>100</v>
      </c>
      <c r="J17" s="184">
        <v>0.1</v>
      </c>
      <c r="K17" s="103">
        <v>16</v>
      </c>
      <c r="L17" s="185" t="s">
        <v>674</v>
      </c>
      <c r="M17" s="186" t="s">
        <v>673</v>
      </c>
    </row>
    <row r="18" ht="18.6" customHeight="1" outlineLevel="1" spans="2:13">
      <c r="B18" s="164" t="s">
        <v>675</v>
      </c>
      <c r="C18" s="174">
        <v>84</v>
      </c>
      <c r="D18" s="169" t="s">
        <v>645</v>
      </c>
      <c r="E18" s="170" t="s">
        <v>676</v>
      </c>
      <c r="F18" s="103" t="s">
        <v>634</v>
      </c>
      <c r="G18" s="171" t="s">
        <v>90</v>
      </c>
      <c r="H18" s="103">
        <v>0</v>
      </c>
      <c r="I18" s="103">
        <v>100</v>
      </c>
      <c r="J18" s="184">
        <v>0.1</v>
      </c>
      <c r="K18" s="103">
        <v>84</v>
      </c>
      <c r="L18" s="185" t="s">
        <v>677</v>
      </c>
      <c r="M18" s="186" t="s">
        <v>676</v>
      </c>
    </row>
    <row r="19" ht="18.6" customHeight="1" outlineLevel="1" spans="2:13">
      <c r="B19" s="164" t="s">
        <v>678</v>
      </c>
      <c r="C19" s="173">
        <v>6500</v>
      </c>
      <c r="D19" s="169" t="s">
        <v>645</v>
      </c>
      <c r="E19" s="170" t="s">
        <v>679</v>
      </c>
      <c r="F19" s="103" t="s">
        <v>634</v>
      </c>
      <c r="G19" s="171" t="s">
        <v>67</v>
      </c>
      <c r="H19" s="103">
        <v>0</v>
      </c>
      <c r="I19" s="103">
        <v>10000</v>
      </c>
      <c r="J19" s="179">
        <v>1</v>
      </c>
      <c r="K19" s="103">
        <v>4000</v>
      </c>
      <c r="L19" s="185" t="s">
        <v>680</v>
      </c>
      <c r="M19" s="186" t="s">
        <v>679</v>
      </c>
    </row>
    <row r="20" ht="18.6" customHeight="1" outlineLevel="1" spans="2:12">
      <c r="B20" s="164" t="s">
        <v>681</v>
      </c>
      <c r="C20" s="85">
        <v>0</v>
      </c>
      <c r="D20" s="165"/>
      <c r="F20" s="103" t="s">
        <v>634</v>
      </c>
      <c r="G20" s="103" t="s">
        <v>91</v>
      </c>
      <c r="H20" s="103">
        <v>0</v>
      </c>
      <c r="I20" s="103">
        <v>255</v>
      </c>
      <c r="J20" s="179">
        <v>1</v>
      </c>
      <c r="K20" s="103">
        <v>0</v>
      </c>
      <c r="L20" s="180" t="s">
        <v>682</v>
      </c>
    </row>
    <row r="21" ht="18.6" customHeight="1" outlineLevel="1" spans="2:12">
      <c r="B21" s="164" t="s">
        <v>683</v>
      </c>
      <c r="C21" s="85">
        <v>0</v>
      </c>
      <c r="D21" s="165"/>
      <c r="F21" s="103" t="s">
        <v>634</v>
      </c>
      <c r="G21" s="103" t="s">
        <v>91</v>
      </c>
      <c r="H21" s="103">
        <v>0</v>
      </c>
      <c r="I21" s="103">
        <v>255</v>
      </c>
      <c r="J21" s="179">
        <v>1</v>
      </c>
      <c r="K21" s="103">
        <v>0</v>
      </c>
      <c r="L21" s="180" t="s">
        <v>684</v>
      </c>
    </row>
    <row r="22" ht="18.6" customHeight="1" outlineLevel="1" spans="2:12">
      <c r="B22" s="164" t="s">
        <v>685</v>
      </c>
      <c r="C22" s="85">
        <v>0</v>
      </c>
      <c r="D22" s="165"/>
      <c r="F22" s="103" t="s">
        <v>634</v>
      </c>
      <c r="G22" s="103" t="s">
        <v>91</v>
      </c>
      <c r="H22" s="103">
        <v>0</v>
      </c>
      <c r="I22" s="103">
        <v>255</v>
      </c>
      <c r="J22" s="179">
        <v>1</v>
      </c>
      <c r="K22" s="103">
        <v>0</v>
      </c>
      <c r="L22" s="180" t="s">
        <v>686</v>
      </c>
    </row>
    <row r="23" ht="18.6" customHeight="1" outlineLevel="1" spans="2:12">
      <c r="B23" s="164" t="s">
        <v>687</v>
      </c>
      <c r="C23" s="85">
        <v>0</v>
      </c>
      <c r="D23" s="165"/>
      <c r="F23" s="103" t="s">
        <v>634</v>
      </c>
      <c r="G23" s="103" t="s">
        <v>91</v>
      </c>
      <c r="H23" s="103">
        <v>0</v>
      </c>
      <c r="I23" s="103">
        <v>255</v>
      </c>
      <c r="J23" s="179">
        <v>1</v>
      </c>
      <c r="K23" s="103">
        <v>0</v>
      </c>
      <c r="L23" s="180" t="s">
        <v>688</v>
      </c>
    </row>
    <row r="24" ht="18.6" customHeight="1" outlineLevel="1"/>
    <row r="25" ht="18.6" customHeight="1"/>
    <row r="26" ht="18.6" customHeight="1"/>
    <row r="27" ht="18.6" customHeight="1" spans="2:15">
      <c r="B27" s="70" t="s">
        <v>689</v>
      </c>
      <c r="C27" s="74" t="s">
        <v>236</v>
      </c>
      <c r="D27" s="165" t="s">
        <v>643</v>
      </c>
      <c r="E27" s="167" t="s">
        <v>96</v>
      </c>
      <c r="F27" s="96" t="s">
        <v>629</v>
      </c>
      <c r="G27" s="96" t="s">
        <v>176</v>
      </c>
      <c r="H27" s="70" t="s">
        <v>177</v>
      </c>
      <c r="I27" s="70" t="s">
        <v>178</v>
      </c>
      <c r="J27" s="70" t="s">
        <v>179</v>
      </c>
      <c r="K27" s="70" t="s">
        <v>180</v>
      </c>
      <c r="L27" s="176" t="s">
        <v>182</v>
      </c>
      <c r="M27" s="123" t="s">
        <v>183</v>
      </c>
      <c r="N27" s="177" t="s">
        <v>630</v>
      </c>
      <c r="O27" s="178" t="s">
        <v>631</v>
      </c>
    </row>
    <row r="28" s="64" customFormat="1" outlineLevel="1" spans="1:15">
      <c r="A28" s="175"/>
      <c r="B28" s="164" t="s">
        <v>690</v>
      </c>
      <c r="C28" s="85">
        <v>500</v>
      </c>
      <c r="D28" s="165" t="s">
        <v>691</v>
      </c>
      <c r="E28" s="166" t="s">
        <v>692</v>
      </c>
      <c r="F28" s="103" t="s">
        <v>634</v>
      </c>
      <c r="G28" s="103" t="s">
        <v>693</v>
      </c>
      <c r="H28" s="103">
        <v>0</v>
      </c>
      <c r="I28" s="103">
        <v>500</v>
      </c>
      <c r="J28" s="179">
        <v>1</v>
      </c>
      <c r="K28" s="103">
        <v>500</v>
      </c>
      <c r="L28" s="180" t="s">
        <v>694</v>
      </c>
      <c r="M28" s="109"/>
      <c r="N28" s="182">
        <v>2.38418579101563e-7</v>
      </c>
      <c r="O28" s="183" t="s">
        <v>695</v>
      </c>
    </row>
    <row r="29" spans="6:6">
      <c r="F29" s="158"/>
    </row>
  </sheetData>
  <protectedRanges>
    <protectedRange sqref="C20:C23 C28" name="区域1"/>
    <protectedRange sqref="C4:C5" name="区域2"/>
  </protectedRanges>
  <conditionalFormatting sqref="C28">
    <cfRule type="expression" dxfId="3" priority="15">
      <formula>$C$5=0</formula>
    </cfRule>
  </conditionalFormatting>
  <conditionalFormatting sqref="C8:C19">
    <cfRule type="expression" dxfId="3" priority="1">
      <formula>$C$4=0</formula>
    </cfRule>
  </conditionalFormatting>
  <conditionalFormatting sqref="C20:C23">
    <cfRule type="expression" dxfId="3" priority="2">
      <formula>$C$4=0</formula>
    </cfRule>
  </conditionalFormatting>
  <dataValidations count="4">
    <dataValidation type="decimal" operator="between" allowBlank="1" showInputMessage="1" showErrorMessage="1" sqref="D4 D20:D23">
      <formula1>I4</formula1>
      <formula2>K4</formula2>
    </dataValidation>
    <dataValidation type="list" allowBlank="1" showInputMessage="1" showErrorMessage="1" error="Invalid value!" sqref="G5 G20:G23">
      <formula1>list_Unit</formula1>
    </dataValidation>
    <dataValidation type="list" allowBlank="1" showInputMessage="1" showErrorMessage="1" sqref="C4:C5">
      <formula1>"0,1"</formula1>
    </dataValidation>
    <dataValidation type="decimal" operator="between" allowBlank="1" showInputMessage="1" showErrorMessage="1" sqref="C28 C20:C23">
      <formula1>H20</formula1>
      <formula2>I20</formula2>
    </dataValidation>
  </dataValidations>
  <pageMargins left="0.7" right="0.7"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FFFF00"/>
  </sheetPr>
  <dimension ref="B1:BO41"/>
  <sheetViews>
    <sheetView zoomScale="85" zoomScaleNormal="85" topLeftCell="AI1" workbookViewId="0">
      <selection activeCell="U41" sqref="U41"/>
    </sheetView>
  </sheetViews>
  <sheetFormatPr defaultColWidth="9" defaultRowHeight="15.5"/>
  <cols>
    <col min="2" max="2" width="10.25" style="128" customWidth="1"/>
    <col min="3" max="3" width="8.875" style="128" customWidth="1"/>
    <col min="4" max="4" width="14" style="128" customWidth="1"/>
    <col min="5" max="5" width="9.75" style="128" customWidth="1"/>
    <col min="6" max="6" width="10.75" style="129" customWidth="1"/>
    <col min="7" max="7" width="9.75" style="128" customWidth="1"/>
    <col min="8" max="8" width="9.75" style="130" customWidth="1"/>
    <col min="9" max="9" width="14" style="130" customWidth="1"/>
    <col min="10" max="10" width="9.75" style="130" customWidth="1"/>
    <col min="11" max="11" width="10.75" style="131" customWidth="1"/>
    <col min="12" max="13" width="9.75" style="130" customWidth="1"/>
    <col min="14" max="14" width="14" style="130" customWidth="1"/>
    <col min="15" max="15" width="9.75" style="130" customWidth="1"/>
    <col min="16" max="16" width="10.75" style="131" customWidth="1"/>
    <col min="17" max="18" width="9.75" style="130" customWidth="1"/>
    <col min="19" max="19" width="14" style="130" customWidth="1"/>
    <col min="20" max="20" width="9.75" style="130" customWidth="1"/>
    <col min="21" max="21" width="10.75" style="131" customWidth="1"/>
    <col min="22" max="23" width="9.75" style="130" customWidth="1"/>
    <col min="24" max="24" width="14" style="130" customWidth="1"/>
    <col min="25" max="25" width="9.75" style="130" customWidth="1"/>
    <col min="26" max="26" width="10.75" style="131" customWidth="1"/>
    <col min="27" max="28" width="9.75" style="130" customWidth="1"/>
    <col min="29" max="29" width="14" style="128" customWidth="1"/>
    <col min="30" max="30" width="9.75" style="128" customWidth="1"/>
    <col min="31" max="31" width="10.75" style="129" customWidth="1"/>
    <col min="32" max="32" width="9.75" style="128" customWidth="1"/>
    <col min="33" max="33" width="9.75" style="130" customWidth="1"/>
    <col min="34" max="34" width="9.125" style="130" customWidth="1"/>
    <col min="35" max="35" width="9.75" style="130" customWidth="1"/>
    <col min="36" max="36" width="10.75" style="131" customWidth="1"/>
    <col min="37" max="38" width="9.75" style="130" customWidth="1"/>
    <col min="39" max="39" width="14" style="130" customWidth="1"/>
    <col min="40" max="40" width="9.75" style="130" customWidth="1"/>
    <col min="41" max="41" width="10.75" style="131" customWidth="1"/>
    <col min="42" max="43" width="9.75" style="130" customWidth="1"/>
    <col min="44" max="44" width="14" style="130" customWidth="1"/>
    <col min="45" max="45" width="10.25" style="130" customWidth="1"/>
    <col min="46" max="46" width="11.375" style="130" customWidth="1"/>
    <col min="47" max="47" width="9.75" style="130" customWidth="1"/>
    <col min="48" max="48" width="10.75" style="131" customWidth="1"/>
    <col min="49" max="50" width="9.75" style="130" customWidth="1"/>
    <col min="51" max="51" width="14" style="130" customWidth="1"/>
    <col min="52" max="52" width="10.25" style="130" customWidth="1"/>
    <col min="53" max="53" width="11" style="130" customWidth="1"/>
    <col min="54" max="54" width="9.75" style="130" customWidth="1"/>
    <col min="55" max="55" width="10.75" style="131" customWidth="1"/>
    <col min="56" max="57" width="9.75" style="130" customWidth="1"/>
    <col min="58" max="58" width="14" style="130" customWidth="1"/>
    <col min="59" max="59" width="10.25" style="130" customWidth="1"/>
    <col min="60" max="60" width="9" style="62"/>
    <col min="63" max="63" width="9.375" customWidth="1"/>
  </cols>
  <sheetData>
    <row r="1" ht="17.5" spans="2:60">
      <c r="B1" s="132" t="s">
        <v>696</v>
      </c>
      <c r="C1" s="132"/>
      <c r="D1" s="132"/>
      <c r="E1" s="132"/>
      <c r="F1" s="132"/>
      <c r="G1" s="132"/>
      <c r="H1" s="133"/>
      <c r="I1" s="133"/>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row>
    <row r="2" ht="14" spans="2:60">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row>
    <row r="3" ht="14" spans="2:60">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row>
    <row r="4" ht="14" spans="2:60">
      <c r="B4"/>
      <c r="C4"/>
      <c r="D4"/>
      <c r="E4" s="134" t="s">
        <v>697</v>
      </c>
      <c r="F4" s="62" t="s">
        <v>698</v>
      </c>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row>
    <row r="5" ht="14" spans="2:67">
      <c r="B5"/>
      <c r="C5"/>
      <c r="D5"/>
      <c r="E5" s="135"/>
      <c r="F5" s="136" t="s">
        <v>126</v>
      </c>
      <c r="G5" s="137"/>
      <c r="H5" s="137"/>
      <c r="I5" s="137"/>
      <c r="J5" s="137"/>
      <c r="K5"/>
      <c r="L5" s="135"/>
      <c r="M5" s="136" t="s">
        <v>127</v>
      </c>
      <c r="N5" s="137"/>
      <c r="O5" s="137"/>
      <c r="P5" s="137"/>
      <c r="Q5" s="137"/>
      <c r="R5"/>
      <c r="S5" s="151"/>
      <c r="T5" s="152" t="s">
        <v>128</v>
      </c>
      <c r="U5" s="153"/>
      <c r="V5" s="153"/>
      <c r="W5" s="153"/>
      <c r="X5" s="153"/>
      <c r="Y5"/>
      <c r="Z5" s="135"/>
      <c r="AA5" s="156" t="s">
        <v>129</v>
      </c>
      <c r="AB5" s="137"/>
      <c r="AC5" s="137"/>
      <c r="AD5" s="137"/>
      <c r="AE5" s="137"/>
      <c r="AF5"/>
      <c r="AG5" s="135"/>
      <c r="AH5" s="136" t="s">
        <v>130</v>
      </c>
      <c r="AI5" s="137"/>
      <c r="AJ5" s="137"/>
      <c r="AK5" s="137"/>
      <c r="AL5" s="137"/>
      <c r="AM5"/>
      <c r="AN5" s="135"/>
      <c r="AO5" s="136" t="s">
        <v>131</v>
      </c>
      <c r="AP5" s="137"/>
      <c r="AQ5" s="137"/>
      <c r="AR5" s="137"/>
      <c r="AS5" s="137"/>
      <c r="AT5"/>
      <c r="AU5" s="135"/>
      <c r="AV5" s="136" t="s">
        <v>132</v>
      </c>
      <c r="AW5" s="137"/>
      <c r="AX5" s="137"/>
      <c r="AY5" s="137"/>
      <c r="AZ5" s="137"/>
      <c r="BA5"/>
      <c r="BB5" s="135"/>
      <c r="BC5" s="136" t="s">
        <v>133</v>
      </c>
      <c r="BD5" s="137"/>
      <c r="BE5" s="137"/>
      <c r="BF5" s="137"/>
      <c r="BG5" s="137"/>
      <c r="BH5"/>
      <c r="BI5" s="135"/>
      <c r="BJ5" s="136" t="s">
        <v>134</v>
      </c>
      <c r="BK5" s="137"/>
      <c r="BM5" s="135"/>
      <c r="BN5" s="136" t="s">
        <v>135</v>
      </c>
      <c r="BO5" s="137"/>
    </row>
    <row r="6" ht="14" spans="2:67">
      <c r="B6"/>
      <c r="C6"/>
      <c r="D6"/>
      <c r="E6" s="138" t="s">
        <v>699</v>
      </c>
      <c r="F6" s="137" t="s">
        <v>446</v>
      </c>
      <c r="G6" s="137" t="s">
        <v>447</v>
      </c>
      <c r="H6" s="137" t="s">
        <v>448</v>
      </c>
      <c r="I6" s="137" t="s">
        <v>449</v>
      </c>
      <c r="J6" s="137" t="s">
        <v>450</v>
      </c>
      <c r="K6"/>
      <c r="L6" s="138" t="s">
        <v>699</v>
      </c>
      <c r="M6" s="137" t="s">
        <v>446</v>
      </c>
      <c r="N6" s="137" t="s">
        <v>447</v>
      </c>
      <c r="O6" s="137" t="s">
        <v>448</v>
      </c>
      <c r="P6" s="137" t="s">
        <v>449</v>
      </c>
      <c r="Q6" s="137" t="s">
        <v>450</v>
      </c>
      <c r="R6"/>
      <c r="S6" s="154" t="s">
        <v>699</v>
      </c>
      <c r="T6" s="153" t="s">
        <v>446</v>
      </c>
      <c r="U6" s="153" t="s">
        <v>447</v>
      </c>
      <c r="V6" s="153" t="s">
        <v>448</v>
      </c>
      <c r="W6" s="153" t="s">
        <v>449</v>
      </c>
      <c r="X6" s="153" t="s">
        <v>450</v>
      </c>
      <c r="Y6"/>
      <c r="Z6" s="138" t="s">
        <v>699</v>
      </c>
      <c r="AA6" s="137" t="s">
        <v>446</v>
      </c>
      <c r="AB6" s="137" t="s">
        <v>447</v>
      </c>
      <c r="AC6" s="137" t="s">
        <v>448</v>
      </c>
      <c r="AD6" s="137" t="s">
        <v>449</v>
      </c>
      <c r="AE6" s="137" t="s">
        <v>450</v>
      </c>
      <c r="AF6"/>
      <c r="AG6" s="138" t="s">
        <v>699</v>
      </c>
      <c r="AH6" s="137" t="s">
        <v>446</v>
      </c>
      <c r="AI6" s="137" t="s">
        <v>447</v>
      </c>
      <c r="AJ6" s="137" t="s">
        <v>448</v>
      </c>
      <c r="AK6" s="137" t="s">
        <v>449</v>
      </c>
      <c r="AL6" s="137" t="s">
        <v>450</v>
      </c>
      <c r="AM6"/>
      <c r="AN6" s="138" t="s">
        <v>699</v>
      </c>
      <c r="AO6" s="137" t="s">
        <v>446</v>
      </c>
      <c r="AP6" s="137" t="s">
        <v>447</v>
      </c>
      <c r="AQ6" s="137" t="s">
        <v>448</v>
      </c>
      <c r="AR6" s="137" t="s">
        <v>449</v>
      </c>
      <c r="AS6" s="137" t="s">
        <v>450</v>
      </c>
      <c r="AT6"/>
      <c r="AU6" s="138" t="s">
        <v>699</v>
      </c>
      <c r="AV6" s="137" t="s">
        <v>446</v>
      </c>
      <c r="AW6" s="137" t="s">
        <v>447</v>
      </c>
      <c r="AX6" s="137" t="s">
        <v>448</v>
      </c>
      <c r="AY6" s="137" t="s">
        <v>449</v>
      </c>
      <c r="AZ6" s="137" t="s">
        <v>450</v>
      </c>
      <c r="BA6"/>
      <c r="BB6" s="138" t="s">
        <v>699</v>
      </c>
      <c r="BC6" s="137" t="s">
        <v>446</v>
      </c>
      <c r="BD6" s="137" t="s">
        <v>447</v>
      </c>
      <c r="BE6" s="137" t="s">
        <v>448</v>
      </c>
      <c r="BF6" s="137" t="s">
        <v>449</v>
      </c>
      <c r="BG6" s="137" t="s">
        <v>450</v>
      </c>
      <c r="BH6"/>
      <c r="BI6" s="138" t="s">
        <v>699</v>
      </c>
      <c r="BJ6" s="136" t="s">
        <v>700</v>
      </c>
      <c r="BK6" s="137" t="s">
        <v>448</v>
      </c>
      <c r="BM6" s="138" t="s">
        <v>699</v>
      </c>
      <c r="BN6" s="136" t="s">
        <v>700</v>
      </c>
      <c r="BO6" s="137" t="s">
        <v>448</v>
      </c>
    </row>
    <row r="7" ht="14" spans="2:67">
      <c r="B7"/>
      <c r="C7"/>
      <c r="D7"/>
      <c r="E7" s="137">
        <v>1</v>
      </c>
      <c r="F7" s="139">
        <v>0</v>
      </c>
      <c r="G7" s="139">
        <v>0</v>
      </c>
      <c r="H7" s="139">
        <v>255</v>
      </c>
      <c r="I7" s="139">
        <v>0</v>
      </c>
      <c r="J7" s="139">
        <v>0</v>
      </c>
      <c r="K7"/>
      <c r="L7" s="137">
        <v>1</v>
      </c>
      <c r="M7" s="146">
        <v>0</v>
      </c>
      <c r="N7" s="146">
        <v>0</v>
      </c>
      <c r="O7" s="146">
        <v>0</v>
      </c>
      <c r="P7" s="146">
        <v>0</v>
      </c>
      <c r="Q7" s="146">
        <v>0</v>
      </c>
      <c r="R7"/>
      <c r="S7" s="153">
        <v>1</v>
      </c>
      <c r="T7" s="155">
        <v>2</v>
      </c>
      <c r="U7" s="155">
        <v>30</v>
      </c>
      <c r="V7" s="155">
        <v>56</v>
      </c>
      <c r="W7" s="155">
        <v>0</v>
      </c>
      <c r="X7" s="155">
        <v>100</v>
      </c>
      <c r="Y7"/>
      <c r="Z7" s="137">
        <v>1</v>
      </c>
      <c r="AA7" s="139">
        <v>0</v>
      </c>
      <c r="AB7" s="139">
        <v>0</v>
      </c>
      <c r="AC7" s="139">
        <v>0</v>
      </c>
      <c r="AD7" s="139">
        <v>0</v>
      </c>
      <c r="AE7" s="139">
        <v>0</v>
      </c>
      <c r="AF7"/>
      <c r="AG7" s="137">
        <v>1</v>
      </c>
      <c r="AH7" s="157">
        <v>0</v>
      </c>
      <c r="AI7" s="157">
        <v>0</v>
      </c>
      <c r="AJ7" s="157">
        <v>20</v>
      </c>
      <c r="AK7" s="157">
        <v>0</v>
      </c>
      <c r="AL7" s="157">
        <v>0</v>
      </c>
      <c r="AM7"/>
      <c r="AN7" s="137">
        <v>1</v>
      </c>
      <c r="AO7" s="155">
        <v>2</v>
      </c>
      <c r="AP7" s="155">
        <v>78</v>
      </c>
      <c r="AQ7" s="155">
        <v>108</v>
      </c>
      <c r="AR7" s="155">
        <v>0</v>
      </c>
      <c r="AS7" s="155">
        <v>100</v>
      </c>
      <c r="AT7"/>
      <c r="AU7" s="137">
        <v>1</v>
      </c>
      <c r="AV7" s="139">
        <v>0</v>
      </c>
      <c r="AW7" s="139">
        <v>0</v>
      </c>
      <c r="AX7" s="139">
        <v>0</v>
      </c>
      <c r="AY7" s="139">
        <v>0</v>
      </c>
      <c r="AZ7" s="139">
        <v>0</v>
      </c>
      <c r="BA7"/>
      <c r="BB7" s="137">
        <v>1</v>
      </c>
      <c r="BC7" s="139">
        <v>0</v>
      </c>
      <c r="BD7" s="139">
        <v>0</v>
      </c>
      <c r="BE7" s="139">
        <v>0</v>
      </c>
      <c r="BF7" s="139">
        <v>0</v>
      </c>
      <c r="BG7" s="139">
        <v>0</v>
      </c>
      <c r="BH7"/>
      <c r="BI7" s="137">
        <v>1</v>
      </c>
      <c r="BJ7" s="139">
        <v>0</v>
      </c>
      <c r="BK7" s="139">
        <v>0</v>
      </c>
      <c r="BM7" s="137">
        <v>1</v>
      </c>
      <c r="BN7" s="139">
        <v>0</v>
      </c>
      <c r="BO7" s="139">
        <v>0</v>
      </c>
    </row>
    <row r="8" ht="14" spans="2:67">
      <c r="B8"/>
      <c r="C8"/>
      <c r="D8"/>
      <c r="E8" s="137">
        <v>2</v>
      </c>
      <c r="F8" s="139">
        <v>0</v>
      </c>
      <c r="G8" s="139">
        <v>0</v>
      </c>
      <c r="H8" s="139">
        <v>127</v>
      </c>
      <c r="I8" s="139">
        <v>0</v>
      </c>
      <c r="J8" s="139">
        <v>0</v>
      </c>
      <c r="K8"/>
      <c r="L8" s="137">
        <v>2</v>
      </c>
      <c r="M8" s="146">
        <v>0</v>
      </c>
      <c r="N8" s="146">
        <v>0</v>
      </c>
      <c r="O8" s="146">
        <v>0</v>
      </c>
      <c r="P8" s="146">
        <v>0</v>
      </c>
      <c r="Q8" s="146">
        <v>0</v>
      </c>
      <c r="R8"/>
      <c r="S8" s="153">
        <v>2</v>
      </c>
      <c r="T8" s="155">
        <v>1</v>
      </c>
      <c r="U8" s="155">
        <v>0</v>
      </c>
      <c r="V8" s="155">
        <v>6</v>
      </c>
      <c r="W8" s="155">
        <v>100</v>
      </c>
      <c r="X8" s="155">
        <v>100</v>
      </c>
      <c r="Y8"/>
      <c r="Z8" s="137">
        <v>2</v>
      </c>
      <c r="AA8" s="139">
        <v>0</v>
      </c>
      <c r="AB8" s="139">
        <v>0</v>
      </c>
      <c r="AC8" s="139">
        <v>0</v>
      </c>
      <c r="AD8" s="139">
        <v>0</v>
      </c>
      <c r="AE8" s="139">
        <v>0</v>
      </c>
      <c r="AF8"/>
      <c r="AG8" s="137">
        <v>2</v>
      </c>
      <c r="AH8" s="157">
        <v>2</v>
      </c>
      <c r="AI8" s="157">
        <v>126</v>
      </c>
      <c r="AJ8" s="157">
        <v>164</v>
      </c>
      <c r="AK8" s="157">
        <v>0</v>
      </c>
      <c r="AL8" s="157">
        <v>100</v>
      </c>
      <c r="AM8"/>
      <c r="AN8" s="137">
        <v>2</v>
      </c>
      <c r="AO8" s="155">
        <v>1</v>
      </c>
      <c r="AP8" s="155">
        <v>0</v>
      </c>
      <c r="AQ8" s="155">
        <v>6</v>
      </c>
      <c r="AR8" s="155">
        <v>100</v>
      </c>
      <c r="AS8" s="155">
        <v>100</v>
      </c>
      <c r="AT8"/>
      <c r="AU8" s="137">
        <v>2</v>
      </c>
      <c r="AV8" s="139">
        <v>0</v>
      </c>
      <c r="AW8" s="139">
        <v>0</v>
      </c>
      <c r="AX8" s="139">
        <v>0</v>
      </c>
      <c r="AY8" s="139">
        <v>0</v>
      </c>
      <c r="AZ8" s="139">
        <v>0</v>
      </c>
      <c r="BA8"/>
      <c r="BB8" s="137">
        <v>2</v>
      </c>
      <c r="BC8" s="139">
        <v>0</v>
      </c>
      <c r="BD8" s="139">
        <v>0</v>
      </c>
      <c r="BE8" s="139">
        <v>0</v>
      </c>
      <c r="BF8" s="139">
        <v>0</v>
      </c>
      <c r="BG8" s="139">
        <v>0</v>
      </c>
      <c r="BH8"/>
      <c r="BI8" s="137">
        <v>2</v>
      </c>
      <c r="BJ8" s="139">
        <v>0</v>
      </c>
      <c r="BK8" s="139">
        <v>0</v>
      </c>
      <c r="BM8" s="137">
        <v>2</v>
      </c>
      <c r="BN8" s="139">
        <v>0</v>
      </c>
      <c r="BO8" s="139">
        <v>0</v>
      </c>
    </row>
    <row r="9" ht="14" spans="2:67">
      <c r="B9"/>
      <c r="C9"/>
      <c r="D9"/>
      <c r="E9" s="137">
        <v>3</v>
      </c>
      <c r="F9" s="139">
        <v>2</v>
      </c>
      <c r="G9" s="139">
        <v>0</v>
      </c>
      <c r="H9" s="139">
        <v>54</v>
      </c>
      <c r="I9" s="139">
        <v>0</v>
      </c>
      <c r="J9" s="139">
        <v>100</v>
      </c>
      <c r="K9"/>
      <c r="L9" s="137">
        <v>3</v>
      </c>
      <c r="M9" s="146">
        <v>0</v>
      </c>
      <c r="N9" s="146">
        <v>0</v>
      </c>
      <c r="O9" s="146">
        <v>0</v>
      </c>
      <c r="P9" s="146">
        <v>0</v>
      </c>
      <c r="Q9" s="146">
        <v>0</v>
      </c>
      <c r="R9"/>
      <c r="S9" s="153">
        <v>3</v>
      </c>
      <c r="T9" s="155">
        <v>3</v>
      </c>
      <c r="U9" s="155">
        <v>0</v>
      </c>
      <c r="V9" s="155">
        <v>30</v>
      </c>
      <c r="W9" s="155">
        <v>0</v>
      </c>
      <c r="X9" s="155">
        <v>100</v>
      </c>
      <c r="Y9"/>
      <c r="Z9" s="137">
        <v>3</v>
      </c>
      <c r="AA9" s="139">
        <v>0</v>
      </c>
      <c r="AB9" s="139">
        <v>0</v>
      </c>
      <c r="AC9" s="139">
        <v>0</v>
      </c>
      <c r="AD9" s="139">
        <v>0</v>
      </c>
      <c r="AE9" s="139">
        <v>0</v>
      </c>
      <c r="AF9"/>
      <c r="AG9" s="137">
        <v>3</v>
      </c>
      <c r="AH9" s="157">
        <v>1</v>
      </c>
      <c r="AI9" s="157">
        <v>0</v>
      </c>
      <c r="AJ9" s="157">
        <v>2</v>
      </c>
      <c r="AK9" s="157">
        <v>100</v>
      </c>
      <c r="AL9" s="157">
        <v>100</v>
      </c>
      <c r="AM9"/>
      <c r="AN9" s="137">
        <v>3</v>
      </c>
      <c r="AO9" s="155">
        <v>3</v>
      </c>
      <c r="AP9" s="155">
        <v>0</v>
      </c>
      <c r="AQ9" s="155">
        <v>30</v>
      </c>
      <c r="AR9" s="155">
        <v>0</v>
      </c>
      <c r="AS9" s="155">
        <v>100</v>
      </c>
      <c r="AT9"/>
      <c r="AU9" s="137">
        <v>3</v>
      </c>
      <c r="AV9" s="139">
        <v>0</v>
      </c>
      <c r="AW9" s="139">
        <v>0</v>
      </c>
      <c r="AX9" s="139">
        <v>0</v>
      </c>
      <c r="AY9" s="139">
        <v>0</v>
      </c>
      <c r="AZ9" s="139">
        <v>0</v>
      </c>
      <c r="BA9"/>
      <c r="BB9" s="137">
        <v>3</v>
      </c>
      <c r="BC9" s="139">
        <v>0</v>
      </c>
      <c r="BD9" s="139">
        <v>0</v>
      </c>
      <c r="BE9" s="139">
        <v>0</v>
      </c>
      <c r="BF9" s="139">
        <v>0</v>
      </c>
      <c r="BG9" s="139">
        <v>0</v>
      </c>
      <c r="BH9"/>
      <c r="BI9" s="137">
        <v>3</v>
      </c>
      <c r="BJ9" s="139">
        <v>0</v>
      </c>
      <c r="BK9" s="139">
        <v>0</v>
      </c>
      <c r="BM9" s="137">
        <v>3</v>
      </c>
      <c r="BN9" s="139">
        <v>0</v>
      </c>
      <c r="BO9" s="139">
        <v>0</v>
      </c>
    </row>
    <row r="10" ht="14" spans="2:67">
      <c r="B10"/>
      <c r="C10"/>
      <c r="D10"/>
      <c r="E10" s="137">
        <v>4</v>
      </c>
      <c r="F10" s="139">
        <v>1</v>
      </c>
      <c r="G10" s="139">
        <v>0</v>
      </c>
      <c r="H10" s="139">
        <v>68</v>
      </c>
      <c r="I10" s="139">
        <v>100</v>
      </c>
      <c r="J10" s="139">
        <v>100</v>
      </c>
      <c r="K10"/>
      <c r="L10" s="137">
        <v>4</v>
      </c>
      <c r="M10" s="146">
        <v>0</v>
      </c>
      <c r="N10" s="146">
        <v>0</v>
      </c>
      <c r="O10" s="146">
        <v>0</v>
      </c>
      <c r="P10" s="146">
        <v>0</v>
      </c>
      <c r="Q10" s="146">
        <v>0</v>
      </c>
      <c r="R10"/>
      <c r="S10" s="153">
        <v>4</v>
      </c>
      <c r="T10" s="155">
        <v>0</v>
      </c>
      <c r="U10" s="155">
        <v>0</v>
      </c>
      <c r="V10" s="155">
        <v>40</v>
      </c>
      <c r="W10" s="155">
        <v>0</v>
      </c>
      <c r="X10" s="155">
        <v>0</v>
      </c>
      <c r="Y10"/>
      <c r="Z10" s="137">
        <v>4</v>
      </c>
      <c r="AA10" s="139">
        <v>0</v>
      </c>
      <c r="AB10" s="139">
        <v>0</v>
      </c>
      <c r="AC10" s="139">
        <v>0</v>
      </c>
      <c r="AD10" s="139">
        <v>0</v>
      </c>
      <c r="AE10" s="139">
        <v>0</v>
      </c>
      <c r="AF10"/>
      <c r="AG10" s="137">
        <v>4</v>
      </c>
      <c r="AH10" s="157">
        <v>3</v>
      </c>
      <c r="AI10" s="157">
        <v>0</v>
      </c>
      <c r="AJ10" s="157">
        <v>34</v>
      </c>
      <c r="AK10" s="157">
        <v>0</v>
      </c>
      <c r="AL10" s="157">
        <v>100</v>
      </c>
      <c r="AM10"/>
      <c r="AN10" s="137">
        <v>4</v>
      </c>
      <c r="AO10" s="155">
        <v>0</v>
      </c>
      <c r="AP10" s="155">
        <v>0</v>
      </c>
      <c r="AQ10" s="155">
        <v>60</v>
      </c>
      <c r="AR10" s="155">
        <v>0</v>
      </c>
      <c r="AS10" s="155">
        <v>0</v>
      </c>
      <c r="AT10"/>
      <c r="AU10" s="137">
        <v>4</v>
      </c>
      <c r="AV10" s="139">
        <v>0</v>
      </c>
      <c r="AW10" s="139">
        <v>0</v>
      </c>
      <c r="AX10" s="139">
        <v>0</v>
      </c>
      <c r="AY10" s="139">
        <v>0</v>
      </c>
      <c r="AZ10" s="139">
        <v>0</v>
      </c>
      <c r="BA10"/>
      <c r="BB10" s="137">
        <v>4</v>
      </c>
      <c r="BC10" s="139">
        <v>0</v>
      </c>
      <c r="BD10" s="139">
        <v>0</v>
      </c>
      <c r="BE10" s="139">
        <v>0</v>
      </c>
      <c r="BF10" s="139">
        <v>0</v>
      </c>
      <c r="BG10" s="139">
        <v>0</v>
      </c>
      <c r="BH10"/>
      <c r="BI10" s="137">
        <v>4</v>
      </c>
      <c r="BJ10" s="139">
        <v>0</v>
      </c>
      <c r="BK10" s="139">
        <v>0</v>
      </c>
      <c r="BM10" s="137">
        <v>4</v>
      </c>
      <c r="BN10" s="139">
        <v>0</v>
      </c>
      <c r="BO10" s="139">
        <v>0</v>
      </c>
    </row>
    <row r="11" ht="14" spans="2:67">
      <c r="B11"/>
      <c r="C11"/>
      <c r="D11"/>
      <c r="E11" s="137">
        <v>5</v>
      </c>
      <c r="F11" s="139">
        <v>0</v>
      </c>
      <c r="G11" s="139">
        <v>0</v>
      </c>
      <c r="H11" s="139">
        <v>0</v>
      </c>
      <c r="I11" s="139">
        <v>0</v>
      </c>
      <c r="J11" s="139">
        <v>0</v>
      </c>
      <c r="K11"/>
      <c r="L11" s="137">
        <v>5</v>
      </c>
      <c r="M11" s="146">
        <v>0</v>
      </c>
      <c r="N11" s="146">
        <v>0</v>
      </c>
      <c r="O11" s="146">
        <v>0</v>
      </c>
      <c r="P11" s="146">
        <v>0</v>
      </c>
      <c r="Q11" s="146">
        <v>0</v>
      </c>
      <c r="R11"/>
      <c r="S11" s="153">
        <v>5</v>
      </c>
      <c r="T11" s="155">
        <v>2</v>
      </c>
      <c r="U11" s="155">
        <v>126</v>
      </c>
      <c r="V11" s="155">
        <v>192</v>
      </c>
      <c r="W11" s="155">
        <v>0</v>
      </c>
      <c r="X11" s="155">
        <v>100</v>
      </c>
      <c r="Y11"/>
      <c r="Z11" s="137">
        <v>5</v>
      </c>
      <c r="AA11" s="139">
        <v>0</v>
      </c>
      <c r="AB11" s="139">
        <v>0</v>
      </c>
      <c r="AC11" s="139">
        <v>0</v>
      </c>
      <c r="AD11" s="139">
        <v>0</v>
      </c>
      <c r="AE11" s="139">
        <v>0</v>
      </c>
      <c r="AF11"/>
      <c r="AG11" s="137">
        <v>5</v>
      </c>
      <c r="AH11" s="157">
        <v>2</v>
      </c>
      <c r="AI11" s="157">
        <v>110</v>
      </c>
      <c r="AJ11" s="157">
        <v>148</v>
      </c>
      <c r="AK11" s="157">
        <v>0</v>
      </c>
      <c r="AL11" s="157">
        <v>100</v>
      </c>
      <c r="AM11"/>
      <c r="AN11" s="137">
        <v>5</v>
      </c>
      <c r="AO11" s="155">
        <v>2</v>
      </c>
      <c r="AP11" s="155">
        <v>126</v>
      </c>
      <c r="AQ11" s="155">
        <v>164</v>
      </c>
      <c r="AR11" s="155">
        <v>0</v>
      </c>
      <c r="AS11" s="155">
        <v>100</v>
      </c>
      <c r="AT11"/>
      <c r="AU11" s="137">
        <v>5</v>
      </c>
      <c r="AV11" s="139">
        <v>0</v>
      </c>
      <c r="AW11" s="139">
        <v>0</v>
      </c>
      <c r="AX11" s="139">
        <v>0</v>
      </c>
      <c r="AY11" s="139">
        <v>0</v>
      </c>
      <c r="AZ11" s="139">
        <v>0</v>
      </c>
      <c r="BA11"/>
      <c r="BB11" s="137">
        <v>5</v>
      </c>
      <c r="BC11" s="139">
        <v>0</v>
      </c>
      <c r="BD11" s="139">
        <v>0</v>
      </c>
      <c r="BE11" s="139">
        <v>0</v>
      </c>
      <c r="BF11" s="139">
        <v>0</v>
      </c>
      <c r="BG11" s="139">
        <v>0</v>
      </c>
      <c r="BH11"/>
      <c r="BI11" s="137">
        <v>5</v>
      </c>
      <c r="BJ11" s="139">
        <v>0</v>
      </c>
      <c r="BK11" s="139">
        <v>0</v>
      </c>
      <c r="BM11" s="137">
        <v>5</v>
      </c>
      <c r="BN11" s="139">
        <v>0</v>
      </c>
      <c r="BO11" s="139">
        <v>0</v>
      </c>
    </row>
    <row r="12" ht="14" spans="2:67">
      <c r="B12"/>
      <c r="C12"/>
      <c r="D12"/>
      <c r="E12" s="137">
        <v>6</v>
      </c>
      <c r="F12" s="139">
        <v>0</v>
      </c>
      <c r="G12" s="139">
        <v>0</v>
      </c>
      <c r="H12" s="139">
        <v>0</v>
      </c>
      <c r="I12" s="139">
        <v>0</v>
      </c>
      <c r="J12" s="139">
        <v>0</v>
      </c>
      <c r="K12"/>
      <c r="L12" s="137">
        <v>6</v>
      </c>
      <c r="M12" s="146">
        <v>0</v>
      </c>
      <c r="N12" s="146">
        <v>0</v>
      </c>
      <c r="O12" s="146">
        <v>0</v>
      </c>
      <c r="P12" s="146">
        <v>0</v>
      </c>
      <c r="Q12" s="146">
        <v>0</v>
      </c>
      <c r="R12"/>
      <c r="S12" s="153">
        <v>6</v>
      </c>
      <c r="T12" s="155">
        <v>1</v>
      </c>
      <c r="U12" s="155">
        <v>0</v>
      </c>
      <c r="V12" s="155">
        <v>180</v>
      </c>
      <c r="W12" s="155">
        <v>100</v>
      </c>
      <c r="X12" s="155">
        <v>100</v>
      </c>
      <c r="Y12"/>
      <c r="Z12" s="137">
        <v>6</v>
      </c>
      <c r="AA12" s="139">
        <v>0</v>
      </c>
      <c r="AB12" s="139">
        <v>0</v>
      </c>
      <c r="AC12" s="139">
        <v>0</v>
      </c>
      <c r="AD12" s="139">
        <v>0</v>
      </c>
      <c r="AE12" s="139">
        <v>0</v>
      </c>
      <c r="AF12"/>
      <c r="AG12" s="137">
        <v>6</v>
      </c>
      <c r="AH12" s="157">
        <v>1</v>
      </c>
      <c r="AI12" s="157">
        <v>0</v>
      </c>
      <c r="AJ12" s="157">
        <v>136</v>
      </c>
      <c r="AK12" s="157">
        <v>100</v>
      </c>
      <c r="AL12" s="157">
        <v>100</v>
      </c>
      <c r="AM12"/>
      <c r="AN12" s="137">
        <v>6</v>
      </c>
      <c r="AO12" s="155">
        <v>1</v>
      </c>
      <c r="AP12" s="155">
        <v>0</v>
      </c>
      <c r="AQ12" s="155">
        <v>136</v>
      </c>
      <c r="AR12" s="155">
        <v>100</v>
      </c>
      <c r="AS12" s="155">
        <v>100</v>
      </c>
      <c r="AT12"/>
      <c r="AU12" s="137">
        <v>6</v>
      </c>
      <c r="AV12" s="139">
        <v>0</v>
      </c>
      <c r="AW12" s="139">
        <v>0</v>
      </c>
      <c r="AX12" s="139">
        <v>0</v>
      </c>
      <c r="AY12" s="139">
        <v>0</v>
      </c>
      <c r="AZ12" s="139">
        <v>0</v>
      </c>
      <c r="BA12"/>
      <c r="BB12" s="137">
        <v>6</v>
      </c>
      <c r="BC12" s="139">
        <v>0</v>
      </c>
      <c r="BD12" s="139">
        <v>0</v>
      </c>
      <c r="BE12" s="139">
        <v>0</v>
      </c>
      <c r="BF12" s="139">
        <v>0</v>
      </c>
      <c r="BG12" s="139">
        <v>0</v>
      </c>
      <c r="BH12"/>
      <c r="BI12" s="137">
        <v>6</v>
      </c>
      <c r="BJ12" s="139">
        <v>0</v>
      </c>
      <c r="BK12" s="139">
        <v>0</v>
      </c>
      <c r="BM12" s="137">
        <v>6</v>
      </c>
      <c r="BN12" s="139">
        <v>0</v>
      </c>
      <c r="BO12" s="139">
        <v>0</v>
      </c>
    </row>
    <row r="13" ht="14" spans="2:67">
      <c r="B13"/>
      <c r="C13"/>
      <c r="D13"/>
      <c r="E13" s="137">
        <v>7</v>
      </c>
      <c r="F13" s="139">
        <v>0</v>
      </c>
      <c r="G13" s="139">
        <v>0</v>
      </c>
      <c r="H13" s="139">
        <v>0</v>
      </c>
      <c r="I13" s="139">
        <v>0</v>
      </c>
      <c r="J13" s="139">
        <v>0</v>
      </c>
      <c r="K13"/>
      <c r="L13" s="137">
        <v>7</v>
      </c>
      <c r="M13" s="146">
        <v>0</v>
      </c>
      <c r="N13" s="146">
        <v>0</v>
      </c>
      <c r="O13" s="146">
        <v>0</v>
      </c>
      <c r="P13" s="146">
        <v>0</v>
      </c>
      <c r="Q13" s="146">
        <v>0</v>
      </c>
      <c r="R13"/>
      <c r="S13" s="153">
        <v>7</v>
      </c>
      <c r="T13" s="155">
        <v>0</v>
      </c>
      <c r="U13" s="155">
        <v>0</v>
      </c>
      <c r="V13" s="155">
        <v>0</v>
      </c>
      <c r="W13" s="155">
        <v>0</v>
      </c>
      <c r="X13" s="155">
        <v>0</v>
      </c>
      <c r="Y13"/>
      <c r="Z13" s="137">
        <v>7</v>
      </c>
      <c r="AA13" s="139">
        <v>0</v>
      </c>
      <c r="AB13" s="139">
        <v>0</v>
      </c>
      <c r="AC13" s="139">
        <v>0</v>
      </c>
      <c r="AD13" s="139">
        <v>0</v>
      </c>
      <c r="AE13" s="139">
        <v>0</v>
      </c>
      <c r="AF13"/>
      <c r="AG13" s="137">
        <v>7</v>
      </c>
      <c r="AH13" s="157">
        <v>0</v>
      </c>
      <c r="AI13" s="157">
        <v>0</v>
      </c>
      <c r="AJ13" s="157">
        <v>0</v>
      </c>
      <c r="AK13" s="157">
        <v>0</v>
      </c>
      <c r="AL13" s="157">
        <v>0</v>
      </c>
      <c r="AM13"/>
      <c r="AN13" s="137">
        <v>7</v>
      </c>
      <c r="AO13" s="155">
        <v>0</v>
      </c>
      <c r="AP13" s="155">
        <v>0</v>
      </c>
      <c r="AQ13" s="155">
        <v>0</v>
      </c>
      <c r="AR13" s="155">
        <v>0</v>
      </c>
      <c r="AS13" s="155">
        <v>0</v>
      </c>
      <c r="AT13"/>
      <c r="AU13" s="137">
        <v>7</v>
      </c>
      <c r="AV13" s="139">
        <v>0</v>
      </c>
      <c r="AW13" s="139">
        <v>0</v>
      </c>
      <c r="AX13" s="139">
        <v>0</v>
      </c>
      <c r="AY13" s="139">
        <v>0</v>
      </c>
      <c r="AZ13" s="139">
        <v>0</v>
      </c>
      <c r="BA13"/>
      <c r="BB13" s="137">
        <v>7</v>
      </c>
      <c r="BC13" s="139">
        <v>0</v>
      </c>
      <c r="BD13" s="139">
        <v>0</v>
      </c>
      <c r="BE13" s="139">
        <v>0</v>
      </c>
      <c r="BF13" s="139">
        <v>0</v>
      </c>
      <c r="BG13" s="139">
        <v>0</v>
      </c>
      <c r="BH13"/>
      <c r="BI13" s="137">
        <v>7</v>
      </c>
      <c r="BJ13" s="139">
        <v>0</v>
      </c>
      <c r="BK13" s="139">
        <v>0</v>
      </c>
      <c r="BM13" s="137">
        <v>7</v>
      </c>
      <c r="BN13" s="139">
        <v>0</v>
      </c>
      <c r="BO13" s="139">
        <v>0</v>
      </c>
    </row>
    <row r="14" ht="14" spans="2:67">
      <c r="B14"/>
      <c r="C14"/>
      <c r="D14"/>
      <c r="E14" s="137">
        <v>8</v>
      </c>
      <c r="F14" s="139">
        <v>0</v>
      </c>
      <c r="G14" s="139">
        <v>0</v>
      </c>
      <c r="H14" s="139">
        <v>0</v>
      </c>
      <c r="I14" s="139">
        <v>0</v>
      </c>
      <c r="J14" s="139">
        <v>0</v>
      </c>
      <c r="K14"/>
      <c r="L14" s="137">
        <v>8</v>
      </c>
      <c r="M14" s="146">
        <v>0</v>
      </c>
      <c r="N14" s="146">
        <v>0</v>
      </c>
      <c r="O14" s="146">
        <v>0</v>
      </c>
      <c r="P14" s="146">
        <v>0</v>
      </c>
      <c r="Q14" s="146">
        <v>0</v>
      </c>
      <c r="R14"/>
      <c r="S14" s="153">
        <v>8</v>
      </c>
      <c r="T14" s="155">
        <v>0</v>
      </c>
      <c r="U14" s="155">
        <v>0</v>
      </c>
      <c r="V14" s="155">
        <v>0</v>
      </c>
      <c r="W14" s="155">
        <v>0</v>
      </c>
      <c r="X14" s="155">
        <v>0</v>
      </c>
      <c r="Y14"/>
      <c r="Z14" s="137">
        <v>8</v>
      </c>
      <c r="AA14" s="139">
        <v>0</v>
      </c>
      <c r="AB14" s="139">
        <v>0</v>
      </c>
      <c r="AC14" s="139">
        <v>0</v>
      </c>
      <c r="AD14" s="139">
        <v>0</v>
      </c>
      <c r="AE14" s="139">
        <v>0</v>
      </c>
      <c r="AF14"/>
      <c r="AG14" s="137">
        <v>8</v>
      </c>
      <c r="AH14" s="157">
        <v>0</v>
      </c>
      <c r="AI14" s="157">
        <v>0</v>
      </c>
      <c r="AJ14" s="157">
        <v>0</v>
      </c>
      <c r="AK14" s="157">
        <v>0</v>
      </c>
      <c r="AL14" s="157">
        <v>0</v>
      </c>
      <c r="AM14"/>
      <c r="AN14" s="137">
        <v>8</v>
      </c>
      <c r="AO14" s="155">
        <v>0</v>
      </c>
      <c r="AP14" s="155">
        <v>0</v>
      </c>
      <c r="AQ14" s="155">
        <v>0</v>
      </c>
      <c r="AR14" s="155">
        <v>0</v>
      </c>
      <c r="AS14" s="155">
        <v>0</v>
      </c>
      <c r="AT14"/>
      <c r="AU14" s="137">
        <v>8</v>
      </c>
      <c r="AV14" s="139">
        <v>0</v>
      </c>
      <c r="AW14" s="139">
        <v>0</v>
      </c>
      <c r="AX14" s="139">
        <v>0</v>
      </c>
      <c r="AY14" s="139">
        <v>0</v>
      </c>
      <c r="AZ14" s="139">
        <v>0</v>
      </c>
      <c r="BA14"/>
      <c r="BB14" s="137">
        <v>8</v>
      </c>
      <c r="BC14" s="139">
        <v>0</v>
      </c>
      <c r="BD14" s="139">
        <v>0</v>
      </c>
      <c r="BE14" s="139">
        <v>0</v>
      </c>
      <c r="BF14" s="139">
        <v>0</v>
      </c>
      <c r="BG14" s="139">
        <v>0</v>
      </c>
      <c r="BH14"/>
      <c r="BI14" s="137">
        <v>8</v>
      </c>
      <c r="BJ14" s="139">
        <v>0</v>
      </c>
      <c r="BK14" s="139">
        <v>0</v>
      </c>
      <c r="BM14" s="137">
        <v>8</v>
      </c>
      <c r="BN14" s="139">
        <v>0</v>
      </c>
      <c r="BO14" s="139">
        <v>0</v>
      </c>
    </row>
    <row r="15" ht="14" spans="2:67">
      <c r="B15"/>
      <c r="C15"/>
      <c r="D15"/>
      <c r="E15" s="137">
        <v>9</v>
      </c>
      <c r="F15" s="139">
        <v>0</v>
      </c>
      <c r="G15" s="140">
        <v>0</v>
      </c>
      <c r="H15" s="139">
        <v>0</v>
      </c>
      <c r="I15" s="139">
        <v>0</v>
      </c>
      <c r="J15" s="139">
        <v>0</v>
      </c>
      <c r="K15"/>
      <c r="L15" s="137">
        <v>9</v>
      </c>
      <c r="M15" s="146">
        <v>0</v>
      </c>
      <c r="N15" s="146">
        <v>0</v>
      </c>
      <c r="O15" s="146">
        <v>0</v>
      </c>
      <c r="P15" s="146">
        <v>0</v>
      </c>
      <c r="Q15" s="146">
        <v>0</v>
      </c>
      <c r="R15"/>
      <c r="S15" s="153">
        <v>9</v>
      </c>
      <c r="T15" s="155">
        <v>0</v>
      </c>
      <c r="U15" s="155">
        <v>0</v>
      </c>
      <c r="V15" s="155">
        <v>0</v>
      </c>
      <c r="W15" s="155">
        <v>0</v>
      </c>
      <c r="X15" s="155">
        <v>0</v>
      </c>
      <c r="Y15"/>
      <c r="Z15" s="137">
        <v>9</v>
      </c>
      <c r="AA15" s="139">
        <v>0</v>
      </c>
      <c r="AB15" s="140">
        <v>0</v>
      </c>
      <c r="AC15" s="139">
        <v>0</v>
      </c>
      <c r="AD15" s="139">
        <v>0</v>
      </c>
      <c r="AE15" s="139">
        <v>0</v>
      </c>
      <c r="AF15"/>
      <c r="AG15" s="137">
        <v>9</v>
      </c>
      <c r="AH15" s="157">
        <v>0</v>
      </c>
      <c r="AI15" s="157">
        <v>0</v>
      </c>
      <c r="AJ15" s="157">
        <v>0</v>
      </c>
      <c r="AK15" s="157">
        <v>0</v>
      </c>
      <c r="AL15" s="157">
        <v>0</v>
      </c>
      <c r="AM15"/>
      <c r="AN15" s="137">
        <v>9</v>
      </c>
      <c r="AO15" s="155">
        <v>0</v>
      </c>
      <c r="AP15" s="155">
        <v>0</v>
      </c>
      <c r="AQ15" s="155">
        <v>0</v>
      </c>
      <c r="AR15" s="155">
        <v>0</v>
      </c>
      <c r="AS15" s="155">
        <v>0</v>
      </c>
      <c r="AT15"/>
      <c r="AU15" s="137">
        <v>9</v>
      </c>
      <c r="AV15" s="139">
        <v>0</v>
      </c>
      <c r="AW15" s="140">
        <v>0</v>
      </c>
      <c r="AX15" s="139">
        <v>0</v>
      </c>
      <c r="AY15" s="139">
        <v>0</v>
      </c>
      <c r="AZ15" s="139">
        <v>0</v>
      </c>
      <c r="BA15"/>
      <c r="BB15" s="137">
        <v>9</v>
      </c>
      <c r="BC15" s="139">
        <v>0</v>
      </c>
      <c r="BD15" s="140">
        <v>0</v>
      </c>
      <c r="BE15" s="139">
        <v>0</v>
      </c>
      <c r="BF15" s="139">
        <v>0</v>
      </c>
      <c r="BG15" s="139">
        <v>0</v>
      </c>
      <c r="BH15"/>
      <c r="BI15" s="137">
        <v>9</v>
      </c>
      <c r="BJ15" s="139">
        <v>0</v>
      </c>
      <c r="BK15" s="139">
        <v>0</v>
      </c>
      <c r="BM15" s="137">
        <v>9</v>
      </c>
      <c r="BN15" s="139">
        <v>0</v>
      </c>
      <c r="BO15" s="139">
        <v>0</v>
      </c>
    </row>
    <row r="16" ht="14" spans="2:67">
      <c r="B16"/>
      <c r="C16"/>
      <c r="D16"/>
      <c r="E16" s="137">
        <v>10</v>
      </c>
      <c r="F16" s="139">
        <v>0</v>
      </c>
      <c r="G16" s="140">
        <v>0</v>
      </c>
      <c r="H16" s="139">
        <v>0</v>
      </c>
      <c r="I16" s="139">
        <v>0</v>
      </c>
      <c r="J16" s="139">
        <v>0</v>
      </c>
      <c r="K16"/>
      <c r="L16" s="137">
        <v>10</v>
      </c>
      <c r="M16" s="146">
        <v>0</v>
      </c>
      <c r="N16" s="146">
        <v>0</v>
      </c>
      <c r="O16" s="146">
        <v>0</v>
      </c>
      <c r="P16" s="146">
        <v>0</v>
      </c>
      <c r="Q16" s="146">
        <v>0</v>
      </c>
      <c r="R16"/>
      <c r="S16" s="153">
        <v>10</v>
      </c>
      <c r="T16" s="155">
        <v>0</v>
      </c>
      <c r="U16" s="155">
        <v>0</v>
      </c>
      <c r="V16" s="155">
        <v>0</v>
      </c>
      <c r="W16" s="155">
        <v>0</v>
      </c>
      <c r="X16" s="155">
        <v>0</v>
      </c>
      <c r="Y16"/>
      <c r="Z16" s="137">
        <v>10</v>
      </c>
      <c r="AA16" s="139">
        <v>0</v>
      </c>
      <c r="AB16" s="140">
        <v>0</v>
      </c>
      <c r="AC16" s="139">
        <v>0</v>
      </c>
      <c r="AD16" s="139">
        <v>0</v>
      </c>
      <c r="AE16" s="139">
        <v>0</v>
      </c>
      <c r="AF16"/>
      <c r="AG16" s="137">
        <v>10</v>
      </c>
      <c r="AH16" s="157">
        <v>0</v>
      </c>
      <c r="AI16" s="157">
        <v>0</v>
      </c>
      <c r="AJ16" s="157">
        <v>0</v>
      </c>
      <c r="AK16" s="157">
        <v>0</v>
      </c>
      <c r="AL16" s="157">
        <v>0</v>
      </c>
      <c r="AM16"/>
      <c r="AN16" s="137">
        <v>10</v>
      </c>
      <c r="AO16" s="157">
        <v>0</v>
      </c>
      <c r="AP16" s="157">
        <v>0</v>
      </c>
      <c r="AQ16" s="157">
        <v>0</v>
      </c>
      <c r="AR16" s="157">
        <v>0</v>
      </c>
      <c r="AS16" s="157">
        <v>0</v>
      </c>
      <c r="AT16"/>
      <c r="AU16" s="137">
        <v>10</v>
      </c>
      <c r="AV16" s="139">
        <v>0</v>
      </c>
      <c r="AW16" s="140">
        <v>0</v>
      </c>
      <c r="AX16" s="139">
        <v>0</v>
      </c>
      <c r="AY16" s="139">
        <v>0</v>
      </c>
      <c r="AZ16" s="139">
        <v>0</v>
      </c>
      <c r="BA16"/>
      <c r="BB16" s="137">
        <v>10</v>
      </c>
      <c r="BC16" s="139">
        <v>0</v>
      </c>
      <c r="BD16" s="140">
        <v>0</v>
      </c>
      <c r="BE16" s="139">
        <v>0</v>
      </c>
      <c r="BF16" s="139">
        <v>0</v>
      </c>
      <c r="BG16" s="139">
        <v>0</v>
      </c>
      <c r="BH16"/>
      <c r="BI16" s="137">
        <v>10</v>
      </c>
      <c r="BJ16" s="139">
        <v>0</v>
      </c>
      <c r="BK16" s="139">
        <v>0</v>
      </c>
      <c r="BM16" s="137">
        <v>10</v>
      </c>
      <c r="BN16" s="139">
        <v>0</v>
      </c>
      <c r="BO16" s="139">
        <v>0</v>
      </c>
    </row>
    <row r="17" ht="14" spans="2:60">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row>
    <row r="18" ht="14" spans="2:60">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row>
    <row r="19" ht="14" spans="2:60">
      <c r="B19"/>
      <c r="C19"/>
      <c r="D19"/>
      <c r="E19" s="134" t="s">
        <v>701</v>
      </c>
      <c r="F19" s="62" t="s">
        <v>698</v>
      </c>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ht="14" spans="2:67">
      <c r="B20"/>
      <c r="C20"/>
      <c r="D20"/>
      <c r="E20" s="135"/>
      <c r="F20" s="136" t="s">
        <v>126</v>
      </c>
      <c r="G20" s="137"/>
      <c r="H20" s="137"/>
      <c r="I20" s="137"/>
      <c r="J20" s="137"/>
      <c r="K20"/>
      <c r="L20" s="135"/>
      <c r="M20" s="136" t="s">
        <v>127</v>
      </c>
      <c r="N20" s="137"/>
      <c r="O20" s="137"/>
      <c r="P20" s="137"/>
      <c r="Q20" s="137"/>
      <c r="R20"/>
      <c r="S20" s="151"/>
      <c r="T20" s="152" t="s">
        <v>128</v>
      </c>
      <c r="U20" s="153"/>
      <c r="V20" s="153"/>
      <c r="W20" s="153"/>
      <c r="X20" s="153"/>
      <c r="Y20"/>
      <c r="Z20" s="135"/>
      <c r="AA20" s="156" t="s">
        <v>129</v>
      </c>
      <c r="AB20" s="137"/>
      <c r="AC20" s="137"/>
      <c r="AD20" s="137"/>
      <c r="AE20" s="137"/>
      <c r="AF20"/>
      <c r="AG20" s="135"/>
      <c r="AH20" s="136" t="s">
        <v>130</v>
      </c>
      <c r="AI20" s="137"/>
      <c r="AJ20" s="137"/>
      <c r="AK20" s="137"/>
      <c r="AL20" s="137"/>
      <c r="AM20"/>
      <c r="AN20" s="135"/>
      <c r="AO20" s="136" t="s">
        <v>131</v>
      </c>
      <c r="AP20" s="137"/>
      <c r="AQ20" s="137"/>
      <c r="AR20" s="137"/>
      <c r="AS20" s="137"/>
      <c r="AT20"/>
      <c r="AU20" s="135"/>
      <c r="AV20" s="136" t="s">
        <v>132</v>
      </c>
      <c r="AW20" s="137"/>
      <c r="AX20" s="137"/>
      <c r="AY20" s="137"/>
      <c r="AZ20" s="137"/>
      <c r="BA20"/>
      <c r="BB20" s="135"/>
      <c r="BC20" s="136" t="s">
        <v>133</v>
      </c>
      <c r="BD20" s="137"/>
      <c r="BE20" s="137"/>
      <c r="BF20" s="137"/>
      <c r="BG20" s="137"/>
      <c r="BH20"/>
      <c r="BI20" s="135"/>
      <c r="BJ20" s="136" t="s">
        <v>134</v>
      </c>
      <c r="BK20" s="137"/>
      <c r="BM20" s="135"/>
      <c r="BN20" s="136" t="s">
        <v>135</v>
      </c>
      <c r="BO20" s="137"/>
    </row>
    <row r="21" ht="14" spans="2:67">
      <c r="B21"/>
      <c r="C21"/>
      <c r="D21"/>
      <c r="E21" s="138" t="s">
        <v>699</v>
      </c>
      <c r="F21" s="137" t="s">
        <v>446</v>
      </c>
      <c r="G21" s="137" t="s">
        <v>447</v>
      </c>
      <c r="H21" s="137" t="s">
        <v>448</v>
      </c>
      <c r="I21" s="137" t="s">
        <v>449</v>
      </c>
      <c r="J21" s="137" t="s">
        <v>450</v>
      </c>
      <c r="K21"/>
      <c r="L21" s="138" t="s">
        <v>699</v>
      </c>
      <c r="M21" s="137" t="s">
        <v>446</v>
      </c>
      <c r="N21" s="137" t="s">
        <v>447</v>
      </c>
      <c r="O21" s="137" t="s">
        <v>448</v>
      </c>
      <c r="P21" s="137" t="s">
        <v>449</v>
      </c>
      <c r="Q21" s="137" t="s">
        <v>450</v>
      </c>
      <c r="R21"/>
      <c r="S21" s="138" t="s">
        <v>699</v>
      </c>
      <c r="T21" s="137" t="s">
        <v>446</v>
      </c>
      <c r="U21" s="137" t="s">
        <v>447</v>
      </c>
      <c r="V21" s="137" t="s">
        <v>448</v>
      </c>
      <c r="W21" s="137" t="s">
        <v>449</v>
      </c>
      <c r="X21" s="137" t="s">
        <v>450</v>
      </c>
      <c r="Y21"/>
      <c r="Z21" s="138" t="s">
        <v>699</v>
      </c>
      <c r="AA21" s="137" t="s">
        <v>446</v>
      </c>
      <c r="AB21" s="137" t="s">
        <v>447</v>
      </c>
      <c r="AC21" s="137" t="s">
        <v>448</v>
      </c>
      <c r="AD21" s="137" t="s">
        <v>449</v>
      </c>
      <c r="AE21" s="137" t="s">
        <v>450</v>
      </c>
      <c r="AF21"/>
      <c r="AG21" s="138" t="s">
        <v>699</v>
      </c>
      <c r="AH21" s="137" t="s">
        <v>446</v>
      </c>
      <c r="AI21" s="137" t="s">
        <v>447</v>
      </c>
      <c r="AJ21" s="137" t="s">
        <v>448</v>
      </c>
      <c r="AK21" s="137" t="s">
        <v>449</v>
      </c>
      <c r="AL21" s="137" t="s">
        <v>450</v>
      </c>
      <c r="AM21"/>
      <c r="AN21" s="138" t="s">
        <v>699</v>
      </c>
      <c r="AO21" s="137" t="s">
        <v>446</v>
      </c>
      <c r="AP21" s="137" t="s">
        <v>447</v>
      </c>
      <c r="AQ21" s="137" t="s">
        <v>448</v>
      </c>
      <c r="AR21" s="137" t="s">
        <v>449</v>
      </c>
      <c r="AS21" s="137" t="s">
        <v>450</v>
      </c>
      <c r="AT21"/>
      <c r="AU21" s="138" t="s">
        <v>699</v>
      </c>
      <c r="AV21" s="137" t="s">
        <v>446</v>
      </c>
      <c r="AW21" s="137" t="s">
        <v>447</v>
      </c>
      <c r="AX21" s="137" t="s">
        <v>448</v>
      </c>
      <c r="AY21" s="137" t="s">
        <v>449</v>
      </c>
      <c r="AZ21" s="137" t="s">
        <v>450</v>
      </c>
      <c r="BA21"/>
      <c r="BB21" s="138" t="s">
        <v>699</v>
      </c>
      <c r="BC21" s="137" t="s">
        <v>446</v>
      </c>
      <c r="BD21" s="137" t="s">
        <v>447</v>
      </c>
      <c r="BE21" s="137" t="s">
        <v>448</v>
      </c>
      <c r="BF21" s="137" t="s">
        <v>449</v>
      </c>
      <c r="BG21" s="137" t="s">
        <v>450</v>
      </c>
      <c r="BH21"/>
      <c r="BI21" s="138" t="s">
        <v>699</v>
      </c>
      <c r="BJ21" s="136" t="s">
        <v>700</v>
      </c>
      <c r="BK21" s="137" t="s">
        <v>448</v>
      </c>
      <c r="BM21" s="138" t="s">
        <v>699</v>
      </c>
      <c r="BN21" s="136" t="s">
        <v>700</v>
      </c>
      <c r="BO21" s="137" t="s">
        <v>448</v>
      </c>
    </row>
    <row r="22" ht="14" spans="2:67">
      <c r="B22"/>
      <c r="C22"/>
      <c r="D22"/>
      <c r="E22" s="137">
        <v>1</v>
      </c>
      <c r="F22" s="139">
        <v>1</v>
      </c>
      <c r="G22" s="139">
        <v>0</v>
      </c>
      <c r="H22" s="139">
        <v>74</v>
      </c>
      <c r="I22" s="139">
        <v>100</v>
      </c>
      <c r="J22" s="139">
        <v>100</v>
      </c>
      <c r="K22"/>
      <c r="L22" s="137">
        <v>1</v>
      </c>
      <c r="M22" s="146">
        <v>0</v>
      </c>
      <c r="N22" s="146">
        <v>0</v>
      </c>
      <c r="O22" s="146">
        <v>0</v>
      </c>
      <c r="P22" s="146">
        <v>0</v>
      </c>
      <c r="Q22" s="146">
        <v>0</v>
      </c>
      <c r="R22"/>
      <c r="S22" s="137">
        <v>1</v>
      </c>
      <c r="T22" s="155">
        <v>1</v>
      </c>
      <c r="U22" s="155">
        <v>0</v>
      </c>
      <c r="V22" s="155">
        <v>186</v>
      </c>
      <c r="W22" s="155">
        <v>100</v>
      </c>
      <c r="X22" s="155">
        <v>100</v>
      </c>
      <c r="Y22"/>
      <c r="Z22" s="137">
        <v>1</v>
      </c>
      <c r="AA22" s="139">
        <v>0</v>
      </c>
      <c r="AB22" s="139">
        <v>0</v>
      </c>
      <c r="AC22" s="139">
        <v>0</v>
      </c>
      <c r="AD22" s="139">
        <v>0</v>
      </c>
      <c r="AE22" s="139">
        <v>0</v>
      </c>
      <c r="AF22"/>
      <c r="AG22" s="137">
        <v>1</v>
      </c>
      <c r="AH22" s="157">
        <v>1</v>
      </c>
      <c r="AI22" s="157">
        <v>0</v>
      </c>
      <c r="AJ22" s="157">
        <v>140</v>
      </c>
      <c r="AK22" s="157">
        <v>100</v>
      </c>
      <c r="AL22" s="157">
        <v>100</v>
      </c>
      <c r="AM22"/>
      <c r="AN22" s="137">
        <v>1</v>
      </c>
      <c r="AO22" s="155">
        <v>1</v>
      </c>
      <c r="AP22" s="155">
        <v>0</v>
      </c>
      <c r="AQ22" s="155">
        <v>140</v>
      </c>
      <c r="AR22" s="155">
        <v>100</v>
      </c>
      <c r="AS22" s="155">
        <v>100</v>
      </c>
      <c r="AT22"/>
      <c r="AU22" s="137">
        <v>1</v>
      </c>
      <c r="AV22" s="139">
        <v>0</v>
      </c>
      <c r="AW22" s="139">
        <v>0</v>
      </c>
      <c r="AX22" s="139">
        <v>0</v>
      </c>
      <c r="AY22" s="139">
        <v>0</v>
      </c>
      <c r="AZ22" s="139">
        <v>0</v>
      </c>
      <c r="BA22"/>
      <c r="BB22" s="137">
        <v>1</v>
      </c>
      <c r="BC22" s="139">
        <v>0</v>
      </c>
      <c r="BD22" s="139">
        <v>0</v>
      </c>
      <c r="BE22" s="139">
        <v>0</v>
      </c>
      <c r="BF22" s="139">
        <v>0</v>
      </c>
      <c r="BG22" s="139">
        <v>0</v>
      </c>
      <c r="BH22"/>
      <c r="BI22" s="137">
        <v>1</v>
      </c>
      <c r="BJ22" s="139">
        <v>0</v>
      </c>
      <c r="BK22" s="139">
        <v>0</v>
      </c>
      <c r="BM22" s="137">
        <v>1</v>
      </c>
      <c r="BN22" s="139">
        <v>0</v>
      </c>
      <c r="BO22" s="139">
        <v>0</v>
      </c>
    </row>
    <row r="23" ht="14" spans="2:67">
      <c r="B23"/>
      <c r="C23"/>
      <c r="D23"/>
      <c r="E23" s="137">
        <v>2</v>
      </c>
      <c r="F23" s="139">
        <v>3</v>
      </c>
      <c r="G23" s="139">
        <v>0</v>
      </c>
      <c r="H23" s="139">
        <v>46</v>
      </c>
      <c r="I23" s="139">
        <v>0</v>
      </c>
      <c r="J23" s="139">
        <v>100</v>
      </c>
      <c r="K23"/>
      <c r="L23" s="137">
        <v>2</v>
      </c>
      <c r="M23" s="146">
        <v>0</v>
      </c>
      <c r="N23" s="146">
        <v>0</v>
      </c>
      <c r="O23" s="146">
        <v>0</v>
      </c>
      <c r="P23" s="146">
        <v>0</v>
      </c>
      <c r="Q23" s="146">
        <v>0</v>
      </c>
      <c r="R23"/>
      <c r="S23" s="137">
        <v>2</v>
      </c>
      <c r="T23" s="155">
        <v>3</v>
      </c>
      <c r="U23" s="155">
        <v>0</v>
      </c>
      <c r="V23" s="155">
        <v>58</v>
      </c>
      <c r="W23" s="155">
        <v>0</v>
      </c>
      <c r="X23" s="155">
        <v>100</v>
      </c>
      <c r="Y23"/>
      <c r="Z23" s="137">
        <v>2</v>
      </c>
      <c r="AA23" s="139">
        <v>0</v>
      </c>
      <c r="AB23" s="139">
        <v>0</v>
      </c>
      <c r="AC23" s="139">
        <v>0</v>
      </c>
      <c r="AD23" s="139">
        <v>0</v>
      </c>
      <c r="AE23" s="139">
        <v>0</v>
      </c>
      <c r="AF23"/>
      <c r="AG23" s="137">
        <v>2</v>
      </c>
      <c r="AH23" s="157">
        <v>3</v>
      </c>
      <c r="AI23" s="157">
        <v>0</v>
      </c>
      <c r="AJ23" s="157">
        <v>32</v>
      </c>
      <c r="AK23" s="157">
        <v>0</v>
      </c>
      <c r="AL23" s="157">
        <v>100</v>
      </c>
      <c r="AM23"/>
      <c r="AN23" s="137">
        <v>2</v>
      </c>
      <c r="AO23" s="155">
        <v>3</v>
      </c>
      <c r="AP23" s="155">
        <v>0</v>
      </c>
      <c r="AQ23" s="155">
        <v>32</v>
      </c>
      <c r="AR23" s="155">
        <v>0</v>
      </c>
      <c r="AS23" s="155">
        <v>100</v>
      </c>
      <c r="AT23"/>
      <c r="AU23" s="137">
        <v>2</v>
      </c>
      <c r="AV23" s="139">
        <v>0</v>
      </c>
      <c r="AW23" s="139">
        <v>0</v>
      </c>
      <c r="AX23" s="139">
        <v>0</v>
      </c>
      <c r="AY23" s="139">
        <v>0</v>
      </c>
      <c r="AZ23" s="139">
        <v>0</v>
      </c>
      <c r="BA23"/>
      <c r="BB23" s="137">
        <v>2</v>
      </c>
      <c r="BC23" s="139">
        <v>0</v>
      </c>
      <c r="BD23" s="139">
        <v>0</v>
      </c>
      <c r="BE23" s="139">
        <v>0</v>
      </c>
      <c r="BF23" s="139">
        <v>0</v>
      </c>
      <c r="BG23" s="139">
        <v>0</v>
      </c>
      <c r="BH23"/>
      <c r="BI23" s="137">
        <v>2</v>
      </c>
      <c r="BJ23" s="139">
        <v>0</v>
      </c>
      <c r="BK23" s="139">
        <v>0</v>
      </c>
      <c r="BM23" s="137">
        <v>2</v>
      </c>
      <c r="BN23" s="139">
        <v>0</v>
      </c>
      <c r="BO23" s="139">
        <v>0</v>
      </c>
    </row>
    <row r="24" ht="14" spans="2:67">
      <c r="B24"/>
      <c r="C24"/>
      <c r="D24"/>
      <c r="E24" s="137">
        <v>3</v>
      </c>
      <c r="F24" s="139">
        <v>0</v>
      </c>
      <c r="G24" s="139">
        <v>0</v>
      </c>
      <c r="H24" s="139">
        <v>255</v>
      </c>
      <c r="I24" s="139">
        <v>0</v>
      </c>
      <c r="J24" s="139">
        <v>0</v>
      </c>
      <c r="K24"/>
      <c r="L24" s="137">
        <v>3</v>
      </c>
      <c r="M24" s="146">
        <v>0</v>
      </c>
      <c r="N24" s="146">
        <v>0</v>
      </c>
      <c r="O24" s="146">
        <v>0</v>
      </c>
      <c r="P24" s="146">
        <v>0</v>
      </c>
      <c r="Q24" s="146">
        <v>0</v>
      </c>
      <c r="R24"/>
      <c r="S24" s="137">
        <v>3</v>
      </c>
      <c r="T24" s="155">
        <v>0</v>
      </c>
      <c r="U24" s="155">
        <v>0</v>
      </c>
      <c r="V24" s="155">
        <v>36</v>
      </c>
      <c r="W24" s="155">
        <v>0</v>
      </c>
      <c r="X24" s="155">
        <v>0</v>
      </c>
      <c r="Y24"/>
      <c r="Z24" s="137">
        <v>3</v>
      </c>
      <c r="AA24" s="139">
        <v>0</v>
      </c>
      <c r="AB24" s="139">
        <v>0</v>
      </c>
      <c r="AC24" s="139">
        <v>0</v>
      </c>
      <c r="AD24" s="139">
        <v>0</v>
      </c>
      <c r="AE24" s="139">
        <v>0</v>
      </c>
      <c r="AF24"/>
      <c r="AG24" s="137">
        <v>3</v>
      </c>
      <c r="AH24" s="157">
        <v>2</v>
      </c>
      <c r="AI24" s="157">
        <v>106</v>
      </c>
      <c r="AJ24" s="157">
        <v>140</v>
      </c>
      <c r="AK24" s="157">
        <v>0</v>
      </c>
      <c r="AL24" s="157">
        <v>100</v>
      </c>
      <c r="AM24"/>
      <c r="AN24" s="137">
        <v>3</v>
      </c>
      <c r="AO24" s="155">
        <v>0</v>
      </c>
      <c r="AP24" s="155">
        <v>0</v>
      </c>
      <c r="AQ24" s="155">
        <v>56</v>
      </c>
      <c r="AR24" s="155">
        <v>0</v>
      </c>
      <c r="AS24" s="155">
        <v>0</v>
      </c>
      <c r="AT24"/>
      <c r="AU24" s="137">
        <v>3</v>
      </c>
      <c r="AV24" s="139">
        <v>0</v>
      </c>
      <c r="AW24" s="139">
        <v>0</v>
      </c>
      <c r="AX24" s="139">
        <v>0</v>
      </c>
      <c r="AY24" s="139">
        <v>0</v>
      </c>
      <c r="AZ24" s="139">
        <v>0</v>
      </c>
      <c r="BA24"/>
      <c r="BB24" s="137">
        <v>3</v>
      </c>
      <c r="BC24" s="139">
        <v>0</v>
      </c>
      <c r="BD24" s="139">
        <v>0</v>
      </c>
      <c r="BE24" s="139">
        <v>0</v>
      </c>
      <c r="BF24" s="139">
        <v>0</v>
      </c>
      <c r="BG24" s="139">
        <v>0</v>
      </c>
      <c r="BH24"/>
      <c r="BI24" s="137">
        <v>3</v>
      </c>
      <c r="BJ24" s="139">
        <v>0</v>
      </c>
      <c r="BK24" s="139">
        <v>0</v>
      </c>
      <c r="BM24" s="137">
        <v>3</v>
      </c>
      <c r="BN24" s="139">
        <v>0</v>
      </c>
      <c r="BO24" s="139">
        <v>0</v>
      </c>
    </row>
    <row r="25" ht="14" spans="2:67">
      <c r="B25"/>
      <c r="C25"/>
      <c r="D25"/>
      <c r="E25" s="137">
        <v>4</v>
      </c>
      <c r="F25" s="139">
        <v>0</v>
      </c>
      <c r="G25" s="139">
        <v>0</v>
      </c>
      <c r="H25" s="139">
        <v>129</v>
      </c>
      <c r="I25" s="139">
        <v>0</v>
      </c>
      <c r="J25" s="139">
        <v>0</v>
      </c>
      <c r="K25"/>
      <c r="L25" s="137">
        <v>4</v>
      </c>
      <c r="M25" s="146">
        <v>0</v>
      </c>
      <c r="N25" s="146">
        <v>0</v>
      </c>
      <c r="O25" s="146">
        <v>0</v>
      </c>
      <c r="P25" s="146">
        <v>0</v>
      </c>
      <c r="Q25" s="146">
        <v>0</v>
      </c>
      <c r="R25"/>
      <c r="S25" s="137">
        <v>4</v>
      </c>
      <c r="T25" s="155">
        <v>2</v>
      </c>
      <c r="U25" s="155">
        <v>126</v>
      </c>
      <c r="V25" s="155">
        <v>160</v>
      </c>
      <c r="W25" s="155">
        <v>0</v>
      </c>
      <c r="X25" s="155">
        <v>100</v>
      </c>
      <c r="Y25"/>
      <c r="Z25" s="137">
        <v>4</v>
      </c>
      <c r="AA25" s="139">
        <v>0</v>
      </c>
      <c r="AB25" s="139">
        <v>0</v>
      </c>
      <c r="AC25" s="139">
        <v>0</v>
      </c>
      <c r="AD25" s="139">
        <v>0</v>
      </c>
      <c r="AE25" s="139">
        <v>0</v>
      </c>
      <c r="AF25"/>
      <c r="AG25" s="137">
        <v>4</v>
      </c>
      <c r="AH25" s="157">
        <v>1</v>
      </c>
      <c r="AI25" s="157">
        <v>0</v>
      </c>
      <c r="AJ25" s="157">
        <v>6</v>
      </c>
      <c r="AK25" s="157">
        <v>100</v>
      </c>
      <c r="AL25" s="157">
        <v>100</v>
      </c>
      <c r="AM25"/>
      <c r="AN25" s="137">
        <v>4</v>
      </c>
      <c r="AO25" s="155">
        <v>2</v>
      </c>
      <c r="AP25" s="155">
        <v>126</v>
      </c>
      <c r="AQ25" s="155">
        <v>160</v>
      </c>
      <c r="AR25" s="155">
        <v>0</v>
      </c>
      <c r="AS25" s="155">
        <v>100</v>
      </c>
      <c r="AT25"/>
      <c r="AU25" s="137">
        <v>4</v>
      </c>
      <c r="AV25" s="139">
        <v>0</v>
      </c>
      <c r="AW25" s="139">
        <v>0</v>
      </c>
      <c r="AX25" s="139">
        <v>0</v>
      </c>
      <c r="AY25" s="139">
        <v>0</v>
      </c>
      <c r="AZ25" s="139">
        <v>0</v>
      </c>
      <c r="BA25"/>
      <c r="BB25" s="137">
        <v>4</v>
      </c>
      <c r="BC25" s="139">
        <v>0</v>
      </c>
      <c r="BD25" s="139">
        <v>0</v>
      </c>
      <c r="BE25" s="139">
        <v>0</v>
      </c>
      <c r="BF25" s="139">
        <v>0</v>
      </c>
      <c r="BG25" s="139">
        <v>0</v>
      </c>
      <c r="BH25"/>
      <c r="BI25" s="137">
        <v>4</v>
      </c>
      <c r="BJ25" s="139">
        <v>0</v>
      </c>
      <c r="BK25" s="139">
        <v>0</v>
      </c>
      <c r="BM25" s="137">
        <v>4</v>
      </c>
      <c r="BN25" s="139">
        <v>0</v>
      </c>
      <c r="BO25" s="139">
        <v>0</v>
      </c>
    </row>
    <row r="26" ht="14" spans="2:67">
      <c r="B26"/>
      <c r="C26"/>
      <c r="D26"/>
      <c r="E26" s="137">
        <v>5</v>
      </c>
      <c r="F26" s="139">
        <v>0</v>
      </c>
      <c r="G26" s="139">
        <v>0</v>
      </c>
      <c r="H26" s="139">
        <v>0</v>
      </c>
      <c r="I26" s="139">
        <v>0</v>
      </c>
      <c r="J26" s="139">
        <v>0</v>
      </c>
      <c r="K26"/>
      <c r="L26" s="137">
        <v>5</v>
      </c>
      <c r="M26" s="146">
        <v>0</v>
      </c>
      <c r="N26" s="146">
        <v>0</v>
      </c>
      <c r="O26" s="146">
        <v>0</v>
      </c>
      <c r="P26" s="146">
        <v>0</v>
      </c>
      <c r="Q26" s="146">
        <v>0</v>
      </c>
      <c r="R26"/>
      <c r="S26" s="137">
        <v>5</v>
      </c>
      <c r="T26" s="155">
        <v>1</v>
      </c>
      <c r="U26" s="155">
        <v>0</v>
      </c>
      <c r="V26" s="155">
        <v>2</v>
      </c>
      <c r="W26" s="155">
        <v>100</v>
      </c>
      <c r="X26" s="155">
        <v>100</v>
      </c>
      <c r="Y26"/>
      <c r="Z26" s="137">
        <v>5</v>
      </c>
      <c r="AA26" s="139">
        <v>0</v>
      </c>
      <c r="AB26" s="139">
        <v>0</v>
      </c>
      <c r="AC26" s="139">
        <v>0</v>
      </c>
      <c r="AD26" s="139">
        <v>0</v>
      </c>
      <c r="AE26" s="139">
        <v>0</v>
      </c>
      <c r="AF26"/>
      <c r="AG26" s="137">
        <v>5</v>
      </c>
      <c r="AH26" s="157">
        <v>3</v>
      </c>
      <c r="AI26" s="157">
        <v>0</v>
      </c>
      <c r="AJ26" s="157">
        <v>34</v>
      </c>
      <c r="AK26" s="157">
        <v>0</v>
      </c>
      <c r="AL26" s="157">
        <v>100</v>
      </c>
      <c r="AM26"/>
      <c r="AN26" s="137">
        <v>5</v>
      </c>
      <c r="AO26" s="155">
        <v>1</v>
      </c>
      <c r="AP26" s="155">
        <v>0</v>
      </c>
      <c r="AQ26" s="155">
        <v>6</v>
      </c>
      <c r="AR26" s="155">
        <v>100</v>
      </c>
      <c r="AS26" s="155">
        <v>100</v>
      </c>
      <c r="AT26"/>
      <c r="AU26" s="137">
        <v>5</v>
      </c>
      <c r="AV26" s="139">
        <v>0</v>
      </c>
      <c r="AW26" s="139">
        <v>0</v>
      </c>
      <c r="AX26" s="139">
        <v>0</v>
      </c>
      <c r="AY26" s="139">
        <v>0</v>
      </c>
      <c r="AZ26" s="139">
        <v>0</v>
      </c>
      <c r="BA26"/>
      <c r="BB26" s="137">
        <v>5</v>
      </c>
      <c r="BC26" s="139">
        <v>0</v>
      </c>
      <c r="BD26" s="139">
        <v>0</v>
      </c>
      <c r="BE26" s="139">
        <v>0</v>
      </c>
      <c r="BF26" s="139">
        <v>0</v>
      </c>
      <c r="BG26" s="139">
        <v>0</v>
      </c>
      <c r="BH26"/>
      <c r="BI26" s="137">
        <v>5</v>
      </c>
      <c r="BJ26" s="139">
        <v>0</v>
      </c>
      <c r="BK26" s="139">
        <v>0</v>
      </c>
      <c r="BM26" s="137">
        <v>5</v>
      </c>
      <c r="BN26" s="139">
        <v>0</v>
      </c>
      <c r="BO26" s="139">
        <v>0</v>
      </c>
    </row>
    <row r="27" ht="14" spans="2:67">
      <c r="B27"/>
      <c r="C27"/>
      <c r="D27"/>
      <c r="E27" s="137">
        <v>6</v>
      </c>
      <c r="F27" s="139">
        <v>0</v>
      </c>
      <c r="G27" s="139">
        <v>0</v>
      </c>
      <c r="H27" s="139">
        <v>0</v>
      </c>
      <c r="I27" s="139">
        <v>0</v>
      </c>
      <c r="J27" s="139">
        <v>0</v>
      </c>
      <c r="K27"/>
      <c r="L27" s="137">
        <v>6</v>
      </c>
      <c r="M27" s="146">
        <v>0</v>
      </c>
      <c r="N27" s="146">
        <v>0</v>
      </c>
      <c r="O27" s="146">
        <v>0</v>
      </c>
      <c r="P27" s="146">
        <v>0</v>
      </c>
      <c r="Q27" s="146">
        <v>0</v>
      </c>
      <c r="R27"/>
      <c r="S27" s="137">
        <v>6</v>
      </c>
      <c r="T27" s="155">
        <v>3</v>
      </c>
      <c r="U27" s="155">
        <v>0</v>
      </c>
      <c r="V27" s="155">
        <v>30</v>
      </c>
      <c r="W27" s="155">
        <v>0</v>
      </c>
      <c r="X27" s="155">
        <v>100</v>
      </c>
      <c r="Y27"/>
      <c r="Z27" s="137">
        <v>6</v>
      </c>
      <c r="AA27" s="139">
        <v>0</v>
      </c>
      <c r="AB27" s="139">
        <v>0</v>
      </c>
      <c r="AC27" s="139">
        <v>0</v>
      </c>
      <c r="AD27" s="139">
        <v>0</v>
      </c>
      <c r="AE27" s="139">
        <v>0</v>
      </c>
      <c r="AF27"/>
      <c r="AG27" s="137">
        <v>6</v>
      </c>
      <c r="AH27" s="157">
        <v>0</v>
      </c>
      <c r="AI27" s="157">
        <v>0</v>
      </c>
      <c r="AJ27" s="157">
        <v>152</v>
      </c>
      <c r="AK27" s="157">
        <v>0</v>
      </c>
      <c r="AL27" s="157">
        <v>0</v>
      </c>
      <c r="AM27"/>
      <c r="AN27" s="137">
        <v>6</v>
      </c>
      <c r="AO27" s="155">
        <v>3</v>
      </c>
      <c r="AP27" s="155">
        <v>0</v>
      </c>
      <c r="AQ27" s="155">
        <v>26</v>
      </c>
      <c r="AR27" s="155">
        <v>0</v>
      </c>
      <c r="AS27" s="155">
        <v>100</v>
      </c>
      <c r="AT27"/>
      <c r="AU27" s="137">
        <v>6</v>
      </c>
      <c r="AV27" s="139">
        <v>0</v>
      </c>
      <c r="AW27" s="139">
        <v>0</v>
      </c>
      <c r="AX27" s="139">
        <v>0</v>
      </c>
      <c r="AY27" s="139">
        <v>0</v>
      </c>
      <c r="AZ27" s="139">
        <v>0</v>
      </c>
      <c r="BA27"/>
      <c r="BB27" s="137">
        <v>6</v>
      </c>
      <c r="BC27" s="139">
        <v>0</v>
      </c>
      <c r="BD27" s="139">
        <v>0</v>
      </c>
      <c r="BE27" s="139">
        <v>0</v>
      </c>
      <c r="BF27" s="139">
        <v>0</v>
      </c>
      <c r="BG27" s="139">
        <v>0</v>
      </c>
      <c r="BH27"/>
      <c r="BI27" s="137">
        <v>6</v>
      </c>
      <c r="BJ27" s="139">
        <v>0</v>
      </c>
      <c r="BK27" s="139">
        <v>0</v>
      </c>
      <c r="BM27" s="137">
        <v>6</v>
      </c>
      <c r="BN27" s="139">
        <v>0</v>
      </c>
      <c r="BO27" s="139">
        <v>0</v>
      </c>
    </row>
    <row r="28" ht="14" spans="2:67">
      <c r="B28"/>
      <c r="C28"/>
      <c r="D28"/>
      <c r="E28" s="137">
        <v>7</v>
      </c>
      <c r="F28" s="139">
        <v>0</v>
      </c>
      <c r="G28" s="139">
        <v>0</v>
      </c>
      <c r="H28" s="139">
        <v>0</v>
      </c>
      <c r="I28" s="139">
        <v>0</v>
      </c>
      <c r="J28" s="139">
        <v>0</v>
      </c>
      <c r="K28"/>
      <c r="L28" s="137">
        <v>7</v>
      </c>
      <c r="M28" s="146">
        <v>0</v>
      </c>
      <c r="N28" s="146">
        <v>0</v>
      </c>
      <c r="O28" s="146">
        <v>0</v>
      </c>
      <c r="P28" s="146">
        <v>0</v>
      </c>
      <c r="Q28" s="146">
        <v>0</v>
      </c>
      <c r="R28"/>
      <c r="S28" s="137">
        <v>7</v>
      </c>
      <c r="T28" s="155">
        <v>0</v>
      </c>
      <c r="U28" s="155">
        <v>0</v>
      </c>
      <c r="V28" s="155">
        <v>32</v>
      </c>
      <c r="W28" s="155">
        <v>0</v>
      </c>
      <c r="X28" s="155">
        <v>0</v>
      </c>
      <c r="Y28"/>
      <c r="Z28" s="137">
        <v>7</v>
      </c>
      <c r="AA28" s="139">
        <v>0</v>
      </c>
      <c r="AB28" s="139">
        <v>0</v>
      </c>
      <c r="AC28" s="139">
        <v>0</v>
      </c>
      <c r="AD28" s="139">
        <v>0</v>
      </c>
      <c r="AE28" s="139">
        <v>0</v>
      </c>
      <c r="AF28"/>
      <c r="AG28" s="137">
        <v>7</v>
      </c>
      <c r="AH28" s="157">
        <v>0</v>
      </c>
      <c r="AI28" s="157">
        <v>0</v>
      </c>
      <c r="AJ28" s="157">
        <v>0</v>
      </c>
      <c r="AK28" s="157">
        <v>0</v>
      </c>
      <c r="AL28" s="157">
        <v>0</v>
      </c>
      <c r="AM28"/>
      <c r="AN28" s="137">
        <v>7</v>
      </c>
      <c r="AO28" s="155">
        <v>0</v>
      </c>
      <c r="AP28" s="155">
        <v>0</v>
      </c>
      <c r="AQ28" s="155">
        <v>84</v>
      </c>
      <c r="AR28" s="155">
        <v>0</v>
      </c>
      <c r="AS28" s="155">
        <v>0</v>
      </c>
      <c r="AT28"/>
      <c r="AU28" s="137">
        <v>7</v>
      </c>
      <c r="AV28" s="139">
        <v>0</v>
      </c>
      <c r="AW28" s="139">
        <v>0</v>
      </c>
      <c r="AX28" s="139">
        <v>0</v>
      </c>
      <c r="AY28" s="139">
        <v>0</v>
      </c>
      <c r="AZ28" s="139">
        <v>0</v>
      </c>
      <c r="BA28"/>
      <c r="BB28" s="137">
        <v>7</v>
      </c>
      <c r="BC28" s="139">
        <v>0</v>
      </c>
      <c r="BD28" s="139">
        <v>0</v>
      </c>
      <c r="BE28" s="139">
        <v>0</v>
      </c>
      <c r="BF28" s="139">
        <v>0</v>
      </c>
      <c r="BG28" s="139">
        <v>0</v>
      </c>
      <c r="BH28"/>
      <c r="BI28" s="137">
        <v>7</v>
      </c>
      <c r="BJ28" s="139">
        <v>0</v>
      </c>
      <c r="BK28" s="139">
        <v>0</v>
      </c>
      <c r="BM28" s="137">
        <v>7</v>
      </c>
      <c r="BN28" s="139">
        <v>0</v>
      </c>
      <c r="BO28" s="139">
        <v>0</v>
      </c>
    </row>
    <row r="29" ht="14" spans="2:67">
      <c r="B29"/>
      <c r="C29"/>
      <c r="D29"/>
      <c r="E29" s="137">
        <v>8</v>
      </c>
      <c r="F29" s="139">
        <v>0</v>
      </c>
      <c r="G29" s="139">
        <v>0</v>
      </c>
      <c r="H29" s="139">
        <v>0</v>
      </c>
      <c r="I29" s="139">
        <v>0</v>
      </c>
      <c r="J29" s="139">
        <v>0</v>
      </c>
      <c r="K29"/>
      <c r="L29" s="137">
        <v>8</v>
      </c>
      <c r="M29" s="146">
        <v>0</v>
      </c>
      <c r="N29" s="146">
        <v>0</v>
      </c>
      <c r="O29" s="146">
        <v>0</v>
      </c>
      <c r="P29" s="146">
        <v>0</v>
      </c>
      <c r="Q29" s="146">
        <v>0</v>
      </c>
      <c r="R29"/>
      <c r="S29" s="137">
        <v>8</v>
      </c>
      <c r="T29" s="155">
        <v>0</v>
      </c>
      <c r="U29" s="155">
        <v>0</v>
      </c>
      <c r="V29" s="155">
        <v>0</v>
      </c>
      <c r="W29" s="155">
        <v>0</v>
      </c>
      <c r="X29" s="155">
        <v>0</v>
      </c>
      <c r="Y29"/>
      <c r="Z29" s="137">
        <v>8</v>
      </c>
      <c r="AA29" s="139">
        <v>0</v>
      </c>
      <c r="AB29" s="139">
        <v>0</v>
      </c>
      <c r="AC29" s="139">
        <v>0</v>
      </c>
      <c r="AD29" s="139">
        <v>0</v>
      </c>
      <c r="AE29" s="139">
        <v>0</v>
      </c>
      <c r="AF29"/>
      <c r="AG29" s="137">
        <v>8</v>
      </c>
      <c r="AH29" s="157">
        <v>0</v>
      </c>
      <c r="AI29" s="157">
        <v>0</v>
      </c>
      <c r="AJ29" s="157">
        <v>0</v>
      </c>
      <c r="AK29" s="157">
        <v>0</v>
      </c>
      <c r="AL29" s="157">
        <v>0</v>
      </c>
      <c r="AM29"/>
      <c r="AN29" s="137">
        <v>8</v>
      </c>
      <c r="AO29" s="155">
        <v>0</v>
      </c>
      <c r="AP29" s="155">
        <v>0</v>
      </c>
      <c r="AQ29" s="155">
        <v>0</v>
      </c>
      <c r="AR29" s="155">
        <v>0</v>
      </c>
      <c r="AS29" s="155">
        <v>0</v>
      </c>
      <c r="AT29"/>
      <c r="AU29" s="137">
        <v>8</v>
      </c>
      <c r="AV29" s="139">
        <v>0</v>
      </c>
      <c r="AW29" s="139">
        <v>0</v>
      </c>
      <c r="AX29" s="139">
        <v>0</v>
      </c>
      <c r="AY29" s="139">
        <v>0</v>
      </c>
      <c r="AZ29" s="139">
        <v>0</v>
      </c>
      <c r="BA29"/>
      <c r="BB29" s="137">
        <v>8</v>
      </c>
      <c r="BC29" s="139">
        <v>0</v>
      </c>
      <c r="BD29" s="139">
        <v>0</v>
      </c>
      <c r="BE29" s="139">
        <v>0</v>
      </c>
      <c r="BF29" s="139">
        <v>0</v>
      </c>
      <c r="BG29" s="139">
        <v>0</v>
      </c>
      <c r="BH29"/>
      <c r="BI29" s="137">
        <v>8</v>
      </c>
      <c r="BJ29" s="139">
        <v>0</v>
      </c>
      <c r="BK29" s="139">
        <v>0</v>
      </c>
      <c r="BM29" s="137">
        <v>8</v>
      </c>
      <c r="BN29" s="139">
        <v>0</v>
      </c>
      <c r="BO29" s="139">
        <v>0</v>
      </c>
    </row>
    <row r="30" ht="14" spans="2:67">
      <c r="B30"/>
      <c r="C30"/>
      <c r="D30"/>
      <c r="E30" s="137">
        <v>9</v>
      </c>
      <c r="F30" s="139">
        <v>0</v>
      </c>
      <c r="G30" s="140">
        <v>0</v>
      </c>
      <c r="H30" s="139">
        <v>0</v>
      </c>
      <c r="I30" s="139">
        <v>0</v>
      </c>
      <c r="J30" s="139">
        <v>0</v>
      </c>
      <c r="K30"/>
      <c r="L30" s="137">
        <v>9</v>
      </c>
      <c r="M30" s="146">
        <v>0</v>
      </c>
      <c r="N30" s="146">
        <v>0</v>
      </c>
      <c r="O30" s="146">
        <v>0</v>
      </c>
      <c r="P30" s="146">
        <v>0</v>
      </c>
      <c r="Q30" s="146">
        <v>0</v>
      </c>
      <c r="R30"/>
      <c r="S30" s="137">
        <v>9</v>
      </c>
      <c r="T30" s="155">
        <v>0</v>
      </c>
      <c r="U30" s="155">
        <v>0</v>
      </c>
      <c r="V30" s="155">
        <v>0</v>
      </c>
      <c r="W30" s="155">
        <v>0</v>
      </c>
      <c r="X30" s="155">
        <v>0</v>
      </c>
      <c r="Y30"/>
      <c r="Z30" s="137">
        <v>9</v>
      </c>
      <c r="AA30" s="139">
        <v>0</v>
      </c>
      <c r="AB30" s="140">
        <v>0</v>
      </c>
      <c r="AC30" s="139">
        <v>0</v>
      </c>
      <c r="AD30" s="139">
        <v>0</v>
      </c>
      <c r="AE30" s="139">
        <v>0</v>
      </c>
      <c r="AF30"/>
      <c r="AG30" s="137">
        <v>9</v>
      </c>
      <c r="AH30" s="157">
        <v>0</v>
      </c>
      <c r="AI30" s="157">
        <v>0</v>
      </c>
      <c r="AJ30" s="157">
        <v>0</v>
      </c>
      <c r="AK30" s="157">
        <v>0</v>
      </c>
      <c r="AL30" s="157">
        <v>0</v>
      </c>
      <c r="AM30"/>
      <c r="AN30" s="137">
        <v>9</v>
      </c>
      <c r="AO30" s="155">
        <v>0</v>
      </c>
      <c r="AP30" s="155">
        <v>0</v>
      </c>
      <c r="AQ30" s="155">
        <v>0</v>
      </c>
      <c r="AR30" s="155">
        <v>0</v>
      </c>
      <c r="AS30" s="155">
        <v>0</v>
      </c>
      <c r="AT30"/>
      <c r="AU30" s="137">
        <v>9</v>
      </c>
      <c r="AV30" s="139">
        <v>0</v>
      </c>
      <c r="AW30" s="140">
        <v>0</v>
      </c>
      <c r="AX30" s="139">
        <v>0</v>
      </c>
      <c r="AY30" s="139">
        <v>0</v>
      </c>
      <c r="AZ30" s="139">
        <v>0</v>
      </c>
      <c r="BA30"/>
      <c r="BB30" s="137">
        <v>9</v>
      </c>
      <c r="BC30" s="139">
        <v>0</v>
      </c>
      <c r="BD30" s="140">
        <v>0</v>
      </c>
      <c r="BE30" s="139">
        <v>0</v>
      </c>
      <c r="BF30" s="139">
        <v>0</v>
      </c>
      <c r="BG30" s="139">
        <v>0</v>
      </c>
      <c r="BH30"/>
      <c r="BI30" s="137">
        <v>9</v>
      </c>
      <c r="BJ30" s="139">
        <v>0</v>
      </c>
      <c r="BK30" s="139">
        <v>0</v>
      </c>
      <c r="BM30" s="137">
        <v>9</v>
      </c>
      <c r="BN30" s="139">
        <v>0</v>
      </c>
      <c r="BO30" s="139">
        <v>0</v>
      </c>
    </row>
    <row r="31" ht="14" spans="2:67">
      <c r="B31"/>
      <c r="C31"/>
      <c r="D31"/>
      <c r="E31" s="137">
        <v>10</v>
      </c>
      <c r="F31" s="139">
        <v>0</v>
      </c>
      <c r="G31" s="140">
        <v>0</v>
      </c>
      <c r="H31" s="139">
        <v>0</v>
      </c>
      <c r="I31" s="139">
        <v>0</v>
      </c>
      <c r="J31" s="139">
        <v>0</v>
      </c>
      <c r="K31"/>
      <c r="L31" s="137">
        <v>10</v>
      </c>
      <c r="M31" s="146">
        <v>0</v>
      </c>
      <c r="N31" s="146">
        <v>0</v>
      </c>
      <c r="O31" s="146">
        <v>0</v>
      </c>
      <c r="P31" s="146">
        <v>0</v>
      </c>
      <c r="Q31" s="146">
        <v>0</v>
      </c>
      <c r="R31"/>
      <c r="S31" s="137">
        <v>10</v>
      </c>
      <c r="T31" s="155">
        <v>0</v>
      </c>
      <c r="U31" s="155">
        <v>0</v>
      </c>
      <c r="V31" s="155">
        <v>0</v>
      </c>
      <c r="W31" s="155">
        <v>0</v>
      </c>
      <c r="X31" s="155">
        <v>0</v>
      </c>
      <c r="Y31"/>
      <c r="Z31" s="137">
        <v>10</v>
      </c>
      <c r="AA31" s="139">
        <v>0</v>
      </c>
      <c r="AB31" s="140">
        <v>0</v>
      </c>
      <c r="AC31" s="139">
        <v>0</v>
      </c>
      <c r="AD31" s="139">
        <v>0</v>
      </c>
      <c r="AE31" s="139">
        <v>0</v>
      </c>
      <c r="AF31"/>
      <c r="AG31" s="137">
        <v>10</v>
      </c>
      <c r="AH31" s="157">
        <v>0</v>
      </c>
      <c r="AI31" s="157">
        <v>0</v>
      </c>
      <c r="AJ31" s="157">
        <v>0</v>
      </c>
      <c r="AK31" s="157">
        <v>0</v>
      </c>
      <c r="AL31" s="157">
        <v>0</v>
      </c>
      <c r="AM31"/>
      <c r="AN31" s="137">
        <v>10</v>
      </c>
      <c r="AO31" s="157">
        <v>0</v>
      </c>
      <c r="AP31" s="157">
        <v>0</v>
      </c>
      <c r="AQ31" s="157">
        <v>0</v>
      </c>
      <c r="AR31" s="157">
        <v>0</v>
      </c>
      <c r="AS31" s="157">
        <v>0</v>
      </c>
      <c r="AT31"/>
      <c r="AU31" s="137">
        <v>10</v>
      </c>
      <c r="AV31" s="139">
        <v>0</v>
      </c>
      <c r="AW31" s="140">
        <v>0</v>
      </c>
      <c r="AX31" s="139">
        <v>0</v>
      </c>
      <c r="AY31" s="139">
        <v>0</v>
      </c>
      <c r="AZ31" s="139">
        <v>0</v>
      </c>
      <c r="BA31"/>
      <c r="BB31" s="137">
        <v>10</v>
      </c>
      <c r="BC31" s="139">
        <v>0</v>
      </c>
      <c r="BD31" s="140">
        <v>0</v>
      </c>
      <c r="BE31" s="139">
        <v>0</v>
      </c>
      <c r="BF31" s="139">
        <v>0</v>
      </c>
      <c r="BG31" s="139">
        <v>0</v>
      </c>
      <c r="BH31"/>
      <c r="BI31" s="137">
        <v>10</v>
      </c>
      <c r="BJ31" s="139">
        <v>0</v>
      </c>
      <c r="BK31" s="139">
        <v>0</v>
      </c>
      <c r="BM31" s="137">
        <v>10</v>
      </c>
      <c r="BN31" s="139">
        <v>0</v>
      </c>
      <c r="BO31" s="139">
        <v>0</v>
      </c>
    </row>
    <row r="34" ht="14" spans="4:11">
      <c r="D34" s="128" t="s">
        <v>702</v>
      </c>
      <c r="E34" s="141"/>
      <c r="F34" s="142" t="s">
        <v>703</v>
      </c>
      <c r="G34" s="142" t="s">
        <v>704</v>
      </c>
      <c r="H34" s="142" t="s">
        <v>705</v>
      </c>
      <c r="I34" s="142" t="s">
        <v>179</v>
      </c>
      <c r="J34" s="142" t="s">
        <v>705</v>
      </c>
      <c r="K34" s="142" t="s">
        <v>96</v>
      </c>
    </row>
    <row r="35" ht="14" spans="5:11">
      <c r="E35" s="143" t="s">
        <v>446</v>
      </c>
      <c r="F35" s="144" t="s">
        <v>639</v>
      </c>
      <c r="G35" s="144">
        <v>0</v>
      </c>
      <c r="H35" s="144">
        <v>55</v>
      </c>
      <c r="I35" s="147">
        <v>1</v>
      </c>
      <c r="J35" s="144">
        <v>55</v>
      </c>
      <c r="K35" s="148"/>
    </row>
    <row r="36" ht="14" spans="5:11">
      <c r="E36" s="143" t="s">
        <v>447</v>
      </c>
      <c r="F36" s="144" t="s">
        <v>639</v>
      </c>
      <c r="G36" s="144">
        <v>0</v>
      </c>
      <c r="H36" s="144">
        <v>126</v>
      </c>
      <c r="I36" s="147" t="s">
        <v>706</v>
      </c>
      <c r="J36" s="144" t="s">
        <v>707</v>
      </c>
      <c r="K36" s="148"/>
    </row>
    <row r="37" ht="28" spans="5:11">
      <c r="E37" s="143" t="s">
        <v>448</v>
      </c>
      <c r="F37" s="144" t="s">
        <v>639</v>
      </c>
      <c r="G37" s="144">
        <v>0</v>
      </c>
      <c r="H37" s="144">
        <v>255</v>
      </c>
      <c r="I37" s="147" t="s">
        <v>708</v>
      </c>
      <c r="J37" s="144" t="s">
        <v>709</v>
      </c>
      <c r="K37" s="148" t="s">
        <v>710</v>
      </c>
    </row>
    <row r="38" ht="14" spans="5:11">
      <c r="E38" s="143" t="s">
        <v>449</v>
      </c>
      <c r="F38" s="144" t="s">
        <v>90</v>
      </c>
      <c r="G38" s="144">
        <v>0</v>
      </c>
      <c r="H38" s="145">
        <v>100</v>
      </c>
      <c r="I38" s="149">
        <v>10</v>
      </c>
      <c r="J38" s="150">
        <v>1</v>
      </c>
      <c r="K38" s="148"/>
    </row>
    <row r="39" ht="28" spans="5:11">
      <c r="E39" s="143" t="s">
        <v>450</v>
      </c>
      <c r="F39" s="144" t="s">
        <v>90</v>
      </c>
      <c r="G39" s="144">
        <v>0</v>
      </c>
      <c r="H39" s="145">
        <v>100</v>
      </c>
      <c r="I39" s="149">
        <v>10</v>
      </c>
      <c r="J39" s="150">
        <v>1</v>
      </c>
      <c r="K39" s="148" t="s">
        <v>711</v>
      </c>
    </row>
    <row r="41" ht="56" spans="4:4">
      <c r="D41" s="128" t="s">
        <v>712</v>
      </c>
    </row>
  </sheetData>
  <protectedRanges>
    <protectedRange sqref="M7:Q16 F7:J16 F22:J31 M22:Q31 T22:X31 T7:X16 AA7:AE16 AA22:AE31 AO7:AS16 AO22:AS31 AV7:AZ16 BC7:BG16 BJ7:BK16 BN7:BO16 BN22:BO31 BJ22:BK31 BC22:BG31 AV22:AZ31 AH7:AL16 AH22:AL31" name="区域2_5"/>
  </protectedRanges>
  <conditionalFormatting sqref="H7:H16">
    <cfRule type="expression" dxfId="3" priority="43">
      <formula>($G7&gt;$H7)</formula>
    </cfRule>
  </conditionalFormatting>
  <conditionalFormatting sqref="H22:H31">
    <cfRule type="expression" dxfId="3" priority="41">
      <formula>($G22&gt;$H22)</formula>
    </cfRule>
  </conditionalFormatting>
  <conditionalFormatting sqref="J7:J16">
    <cfRule type="expression" dxfId="3" priority="42">
      <formula>$J7&lt;$I7</formula>
    </cfRule>
  </conditionalFormatting>
  <conditionalFormatting sqref="J22:J31">
    <cfRule type="expression" dxfId="3" priority="40">
      <formula>$J22&lt;$I22</formula>
    </cfRule>
  </conditionalFormatting>
  <conditionalFormatting sqref="O7:O16">
    <cfRule type="expression" dxfId="3" priority="45">
      <formula>($G7&gt;$H7)</formula>
    </cfRule>
  </conditionalFormatting>
  <conditionalFormatting sqref="O22:O31">
    <cfRule type="expression" dxfId="3" priority="39">
      <formula>($G22&gt;$H22)</formula>
    </cfRule>
  </conditionalFormatting>
  <conditionalFormatting sqref="Q7:Q16">
    <cfRule type="expression" dxfId="3" priority="44">
      <formula>$Q7&lt;$P7</formula>
    </cfRule>
  </conditionalFormatting>
  <conditionalFormatting sqref="Q22:Q31">
    <cfRule type="expression" dxfId="3" priority="1">
      <formula>$Q22&lt;$P22</formula>
    </cfRule>
  </conditionalFormatting>
  <conditionalFormatting sqref="V7:V16">
    <cfRule type="expression" dxfId="3" priority="35">
      <formula>($G7&gt;$H7)</formula>
    </cfRule>
  </conditionalFormatting>
  <conditionalFormatting sqref="V22:V31">
    <cfRule type="expression" dxfId="3" priority="37">
      <formula>($G22&gt;$H22)</formula>
    </cfRule>
  </conditionalFormatting>
  <conditionalFormatting sqref="X7:X16">
    <cfRule type="expression" dxfId="3" priority="34">
      <formula>$X7&lt;$W7</formula>
    </cfRule>
  </conditionalFormatting>
  <conditionalFormatting sqref="X22:X31">
    <cfRule type="expression" dxfId="3" priority="2">
      <formula>$X22&lt;$W22</formula>
    </cfRule>
  </conditionalFormatting>
  <conditionalFormatting sqref="AC7:AC16">
    <cfRule type="expression" dxfId="3" priority="33">
      <formula>($G7&gt;$H7)</formula>
    </cfRule>
  </conditionalFormatting>
  <conditionalFormatting sqref="AC22:AC31">
    <cfRule type="expression" dxfId="3" priority="31">
      <formula>($G22&gt;$H22)</formula>
    </cfRule>
  </conditionalFormatting>
  <conditionalFormatting sqref="AE7:AE16">
    <cfRule type="expression" dxfId="3" priority="32">
      <formula>$AE7&lt;$AD7</formula>
    </cfRule>
  </conditionalFormatting>
  <conditionalFormatting sqref="AE22:AE31">
    <cfRule type="expression" dxfId="3" priority="3">
      <formula>$AE22&lt;$AD22</formula>
    </cfRule>
  </conditionalFormatting>
  <conditionalFormatting sqref="AJ7:AJ16">
    <cfRule type="expression" dxfId="3" priority="29">
      <formula>($G7&gt;$H7)</formula>
    </cfRule>
  </conditionalFormatting>
  <conditionalFormatting sqref="AJ22:AJ31">
    <cfRule type="expression" dxfId="3" priority="27">
      <formula>($G22&gt;$H22)</formula>
    </cfRule>
  </conditionalFormatting>
  <conditionalFormatting sqref="AL7:AL16">
    <cfRule type="expression" dxfId="3" priority="28">
      <formula>$AL7&lt;$AK7</formula>
    </cfRule>
  </conditionalFormatting>
  <conditionalFormatting sqref="AL22:AL31">
    <cfRule type="expression" dxfId="3" priority="4">
      <formula>$AL22&lt;$AK22</formula>
    </cfRule>
  </conditionalFormatting>
  <conditionalFormatting sqref="AQ7:AQ16">
    <cfRule type="expression" dxfId="3" priority="25">
      <formula>($G7&gt;$H7)</formula>
    </cfRule>
  </conditionalFormatting>
  <conditionalFormatting sqref="AQ22:AQ31">
    <cfRule type="expression" dxfId="3" priority="23">
      <formula>($G22&gt;$H22)</formula>
    </cfRule>
  </conditionalFormatting>
  <conditionalFormatting sqref="AS7:AS16">
    <cfRule type="expression" dxfId="3" priority="24">
      <formula>$AS7&lt;$AR7</formula>
    </cfRule>
  </conditionalFormatting>
  <conditionalFormatting sqref="AS22:AS31">
    <cfRule type="expression" dxfId="3" priority="5">
      <formula>$AS22&lt;$AR22</formula>
    </cfRule>
  </conditionalFormatting>
  <conditionalFormatting sqref="AX7:AX16">
    <cfRule type="expression" dxfId="3" priority="21">
      <formula>($G7&gt;$H7)</formula>
    </cfRule>
  </conditionalFormatting>
  <conditionalFormatting sqref="AX22:AX31">
    <cfRule type="expression" dxfId="3" priority="19">
      <formula>($G22&gt;$H22)</formula>
    </cfRule>
  </conditionalFormatting>
  <conditionalFormatting sqref="AZ7:AZ16">
    <cfRule type="expression" dxfId="3" priority="20">
      <formula>$AZ7&lt;$AY7</formula>
    </cfRule>
  </conditionalFormatting>
  <conditionalFormatting sqref="AZ22:AZ31">
    <cfRule type="expression" dxfId="3" priority="6">
      <formula>$AZ22&lt;$AY22</formula>
    </cfRule>
  </conditionalFormatting>
  <conditionalFormatting sqref="BE7:BE16">
    <cfRule type="expression" dxfId="3" priority="17">
      <formula>($G7&gt;$H7)</formula>
    </cfRule>
  </conditionalFormatting>
  <conditionalFormatting sqref="BE22:BE31">
    <cfRule type="expression" dxfId="3" priority="15">
      <formula>($G22&gt;$H22)</formula>
    </cfRule>
  </conditionalFormatting>
  <conditionalFormatting sqref="BG7:BG16">
    <cfRule type="expression" dxfId="3" priority="16">
      <formula>$BG7&lt;$BF7</formula>
    </cfRule>
  </conditionalFormatting>
  <conditionalFormatting sqref="BG22:BG31">
    <cfRule type="expression" dxfId="3" priority="7">
      <formula>$BG22&lt;$BF22</formula>
    </cfRule>
  </conditionalFormatting>
  <conditionalFormatting sqref="BK7:BK16">
    <cfRule type="expression" dxfId="3" priority="13">
      <formula>($G7&gt;$H7)</formula>
    </cfRule>
  </conditionalFormatting>
  <conditionalFormatting sqref="BK22:BK31">
    <cfRule type="expression" dxfId="3" priority="11">
      <formula>($G22&gt;$H22)</formula>
    </cfRule>
  </conditionalFormatting>
  <conditionalFormatting sqref="BO7:BO16">
    <cfRule type="expression" dxfId="3" priority="9">
      <formula>($G7&gt;$H7)</formula>
    </cfRule>
  </conditionalFormatting>
  <conditionalFormatting sqref="BO22:BO31">
    <cfRule type="expression" dxfId="3" priority="8">
      <formula>($G22&gt;$H22)</formula>
    </cfRule>
  </conditionalFormatting>
  <dataValidations count="9">
    <dataValidation type="list" allowBlank="1" showInputMessage="1" showErrorMessage="1" sqref="D3">
      <formula1>[6]Lists!#REF!</formula1>
    </dataValidation>
    <dataValidation type="list" allowBlank="1" showInputMessage="1" showErrorMessage="1" error="Invalid value!" sqref="N3">
      <formula1>list_Unit</formula1>
    </dataValidation>
    <dataValidation type="list" allowBlank="1" showInputMessage="1" showErrorMessage="1" error="输入错误" sqref="F7:F16 F22:F31 M7:M16 M22:M31 T7:T16 T22:T31 AA7:AA16 AA22:AA31 AH7:AH16 AH22:AH31 AO7:AO16 AO22:AO31">
      <formula1>"0,1,2,3"</formula1>
    </dataValidation>
    <dataValidation type="list" allowBlank="1" showInputMessage="1" showErrorMessage="1" sqref="I7:I16 I22:I31 P7:P16 P22:P31 W7:W16 W22:W31 AD7:AD16 AD22:AD31 AK7:AK16 AK22:AK31 AR7:AR16 AR22:AR31 AY7:AY16 AY22:AY31 BF7:BF16 BF22:BF31">
      <formula1>data!$Y$2:$Y$12</formula1>
    </dataValidation>
    <dataValidation type="list" allowBlank="1" showInputMessage="1" showErrorMessage="1" sqref="G7:G16 G22:G31 N7:N16 N22:N31 U7:U16 U22:U31 AB7:AB16 AB22:AB31 AI7:AI16 AI22:AI31 AP7:AP16 AP22:AP31 AW7:AW16 AW22:AW31 BD7:BD16 BD22:BD31">
      <formula1>data!$W$2:$W$65</formula1>
    </dataValidation>
    <dataValidation type="list" allowBlank="1" showInputMessage="1" showErrorMessage="1" sqref="H7:H16 H22:H31 O7:O16 O22:O31 V7:V16 V22:V31 AC7:AC16 AC22:AC31 AJ7:AJ16 AJ22:AJ31 AQ7:AQ16 AQ22:AQ31 AX7:AX16 AX22:AX31 BE7:BE16 BE22:BE31 BK7:BK16 BK22:BK31 BO7:BO16 BO22:BO31">
      <formula1>data!$X$2:$X$257</formula1>
    </dataValidation>
    <dataValidation type="list" allowBlank="1" showInputMessage="1" showErrorMessage="1" sqref="BJ7:BJ16 BJ22:BJ31 BN7:BN16 BN22:BN31">
      <formula1>data!$AB$2:$AB$102</formula1>
    </dataValidation>
    <dataValidation type="list" allowBlank="1" showInputMessage="1" showErrorMessage="1" error="输入错误" sqref="AV7:AV16 AV22:AV31 BC7:BC16 BC22:BC31">
      <formula1>"0,1"</formula1>
    </dataValidation>
    <dataValidation type="list" allowBlank="1" showInputMessage="1" showErrorMessage="1" sqref="J7:J16 J22:J31 Q7:Q16 Q22:Q31 X7:X16 X22:X31 AE7:AE16 AE22:AE31 AL7:AL16 AL22:AL31 AS7:AS16 AS22:AS31 AZ7:AZ16 AZ22:AZ31 BG7:BG16 BG22:BG31">
      <formula1>data!$Z$2:$Z$12</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FF00"/>
  </sheetPr>
  <dimension ref="A1:Z34"/>
  <sheetViews>
    <sheetView showGridLines="0" zoomScale="85" zoomScaleNormal="85" workbookViewId="0">
      <selection activeCell="B34" sqref="B34:C34"/>
    </sheetView>
  </sheetViews>
  <sheetFormatPr defaultColWidth="9.375" defaultRowHeight="16.5"/>
  <cols>
    <col min="1" max="1" width="6.75" style="66" customWidth="1"/>
    <col min="2" max="2" width="40.375" style="66" customWidth="1"/>
    <col min="3" max="3" width="13.25" style="66" customWidth="1"/>
    <col min="4" max="4" width="12.375" style="66" customWidth="1"/>
    <col min="5" max="5" width="10" style="66" customWidth="1"/>
    <col min="6" max="6" width="11.375" style="66" customWidth="1"/>
    <col min="7" max="7" width="9" style="66" customWidth="1"/>
    <col min="8" max="8" width="8.125" style="66" customWidth="1"/>
    <col min="9" max="9" width="8.375" style="66" customWidth="1"/>
    <col min="10" max="10" width="11.75" style="66" customWidth="1"/>
    <col min="11" max="11" width="10.875" style="66" customWidth="1"/>
    <col min="12" max="12" width="14" style="66" customWidth="1"/>
    <col min="13" max="13" width="11.25" style="66" customWidth="1"/>
    <col min="14" max="14" width="15.25" style="66" customWidth="1"/>
    <col min="15" max="17" width="13.375" style="66" customWidth="1"/>
    <col min="18" max="18" width="10.375" style="67" customWidth="1"/>
    <col min="19" max="22" width="10.375" style="66" customWidth="1"/>
    <col min="23" max="23" width="32.375" style="66" customWidth="1"/>
    <col min="24" max="24" width="89.625" style="66" customWidth="1"/>
    <col min="25" max="25" width="41.375" style="66" customWidth="1"/>
    <col min="26" max="26" width="47.625" style="66" customWidth="1"/>
    <col min="27" max="16384" width="9.375" style="66"/>
  </cols>
  <sheetData>
    <row r="1" s="63" customFormat="1" ht="20" spans="2:26">
      <c r="B1" s="68" t="s">
        <v>713</v>
      </c>
      <c r="C1" s="69"/>
      <c r="D1" s="69"/>
      <c r="E1" s="69"/>
      <c r="F1" s="69"/>
      <c r="G1" s="69"/>
      <c r="H1" s="69"/>
      <c r="I1" s="69"/>
      <c r="J1" s="69"/>
      <c r="K1" s="69"/>
      <c r="L1" s="69"/>
      <c r="M1" s="69"/>
      <c r="N1" s="66"/>
      <c r="O1" s="66"/>
      <c r="P1" s="66"/>
      <c r="Q1" s="66"/>
      <c r="R1" s="93"/>
      <c r="S1" s="94"/>
      <c r="T1" s="94"/>
      <c r="U1" s="94"/>
      <c r="V1" s="94"/>
      <c r="W1" s="94"/>
      <c r="X1" s="94"/>
      <c r="Z1" s="63" t="s">
        <v>96</v>
      </c>
    </row>
    <row r="2" ht="17.25" spans="8:9">
      <c r="H2" s="66" t="s">
        <v>714</v>
      </c>
      <c r="I2" s="66" t="s">
        <v>715</v>
      </c>
    </row>
    <row r="3" spans="2:25">
      <c r="B3" s="70" t="s">
        <v>716</v>
      </c>
      <c r="C3" s="70" t="s">
        <v>717</v>
      </c>
      <c r="D3" s="70" t="s">
        <v>718</v>
      </c>
      <c r="E3" s="70" t="s">
        <v>719</v>
      </c>
      <c r="F3" s="70" t="s">
        <v>720</v>
      </c>
      <c r="G3" s="70" t="s">
        <v>721</v>
      </c>
      <c r="H3" s="71" t="s">
        <v>722</v>
      </c>
      <c r="I3" s="90"/>
      <c r="J3" s="70" t="s">
        <v>723</v>
      </c>
      <c r="K3" s="70" t="s">
        <v>724</v>
      </c>
      <c r="L3" s="70" t="s">
        <v>725</v>
      </c>
      <c r="M3" s="70" t="s">
        <v>726</v>
      </c>
      <c r="N3" s="91" t="s">
        <v>727</v>
      </c>
      <c r="O3" s="91" t="s">
        <v>728</v>
      </c>
      <c r="Q3" s="95" t="s">
        <v>629</v>
      </c>
      <c r="R3" s="96" t="s">
        <v>176</v>
      </c>
      <c r="S3" s="70" t="s">
        <v>177</v>
      </c>
      <c r="T3" s="70" t="s">
        <v>178</v>
      </c>
      <c r="U3" s="70" t="s">
        <v>179</v>
      </c>
      <c r="V3" s="70" t="s">
        <v>180</v>
      </c>
      <c r="W3" s="70" t="s">
        <v>181</v>
      </c>
      <c r="X3" s="70" t="s">
        <v>182</v>
      </c>
      <c r="Y3" s="123" t="s">
        <v>183</v>
      </c>
    </row>
    <row r="4" spans="2:25">
      <c r="B4" s="70" t="s">
        <v>729</v>
      </c>
      <c r="C4" s="72">
        <v>100</v>
      </c>
      <c r="D4" s="72">
        <v>0</v>
      </c>
      <c r="E4" s="72">
        <v>0</v>
      </c>
      <c r="F4" s="72">
        <v>0</v>
      </c>
      <c r="G4" s="72">
        <v>0</v>
      </c>
      <c r="H4" s="73">
        <v>0</v>
      </c>
      <c r="I4" s="92"/>
      <c r="J4" s="72">
        <v>0</v>
      </c>
      <c r="K4" s="72">
        <v>0</v>
      </c>
      <c r="L4" s="72">
        <v>0</v>
      </c>
      <c r="M4" s="72">
        <v>0</v>
      </c>
      <c r="N4" s="72">
        <v>0</v>
      </c>
      <c r="O4" s="72">
        <v>0</v>
      </c>
      <c r="Q4" s="97" t="s">
        <v>101</v>
      </c>
      <c r="R4" s="462" t="s">
        <v>67</v>
      </c>
      <c r="S4" s="99">
        <v>0</v>
      </c>
      <c r="T4" s="99">
        <v>1000</v>
      </c>
      <c r="U4" s="100">
        <v>1</v>
      </c>
      <c r="V4" s="99">
        <v>300</v>
      </c>
      <c r="W4" s="101" t="s">
        <v>730</v>
      </c>
      <c r="X4" s="102" t="s">
        <v>731</v>
      </c>
      <c r="Y4" s="110"/>
    </row>
    <row r="5" spans="2:25">
      <c r="B5" s="70" t="s">
        <v>732</v>
      </c>
      <c r="C5" s="72">
        <v>100</v>
      </c>
      <c r="D5" s="72">
        <v>0</v>
      </c>
      <c r="E5" s="72">
        <v>0</v>
      </c>
      <c r="F5" s="72">
        <v>0</v>
      </c>
      <c r="G5" s="72">
        <v>0</v>
      </c>
      <c r="H5" s="73">
        <v>0</v>
      </c>
      <c r="I5" s="92"/>
      <c r="J5" s="72">
        <v>0</v>
      </c>
      <c r="K5" s="72">
        <v>0</v>
      </c>
      <c r="L5" s="72">
        <v>0</v>
      </c>
      <c r="M5" s="72">
        <v>0</v>
      </c>
      <c r="N5" s="72">
        <v>0</v>
      </c>
      <c r="O5" s="72">
        <v>0</v>
      </c>
      <c r="Q5" s="97" t="s">
        <v>101</v>
      </c>
      <c r="R5" s="462" t="s">
        <v>67</v>
      </c>
      <c r="S5" s="99">
        <v>0</v>
      </c>
      <c r="T5" s="99">
        <v>1000</v>
      </c>
      <c r="U5" s="100">
        <v>1</v>
      </c>
      <c r="V5" s="99">
        <v>300</v>
      </c>
      <c r="W5" s="101" t="s">
        <v>733</v>
      </c>
      <c r="X5" s="102" t="s">
        <v>734</v>
      </c>
      <c r="Y5" s="110"/>
    </row>
    <row r="6" spans="2:25">
      <c r="B6" s="70" t="s">
        <v>735</v>
      </c>
      <c r="C6" s="72">
        <v>0</v>
      </c>
      <c r="D6" s="72">
        <v>0</v>
      </c>
      <c r="E6" s="72">
        <v>0</v>
      </c>
      <c r="F6" s="72">
        <v>0</v>
      </c>
      <c r="G6" s="72">
        <v>0</v>
      </c>
      <c r="H6" s="72">
        <v>0</v>
      </c>
      <c r="I6" s="72">
        <v>0</v>
      </c>
      <c r="J6" s="72">
        <v>0</v>
      </c>
      <c r="K6" s="72">
        <v>0</v>
      </c>
      <c r="L6" s="72">
        <v>0</v>
      </c>
      <c r="M6" s="72">
        <v>0</v>
      </c>
      <c r="N6" s="72">
        <v>0</v>
      </c>
      <c r="O6" s="72">
        <v>0</v>
      </c>
      <c r="Q6" s="97" t="s">
        <v>101</v>
      </c>
      <c r="R6" s="462" t="s">
        <v>67</v>
      </c>
      <c r="S6" s="99">
        <v>0</v>
      </c>
      <c r="T6" s="99">
        <v>200</v>
      </c>
      <c r="U6" s="100">
        <v>1</v>
      </c>
      <c r="V6" s="99">
        <v>0</v>
      </c>
      <c r="W6" s="101"/>
      <c r="X6" s="102" t="s">
        <v>736</v>
      </c>
      <c r="Y6" s="110"/>
    </row>
    <row r="7" spans="2:25">
      <c r="B7" s="70" t="s">
        <v>737</v>
      </c>
      <c r="C7" s="72">
        <v>0</v>
      </c>
      <c r="D7" s="72">
        <v>0</v>
      </c>
      <c r="E7" s="72">
        <v>0</v>
      </c>
      <c r="F7" s="72">
        <v>0</v>
      </c>
      <c r="G7" s="72">
        <v>0</v>
      </c>
      <c r="H7" s="72">
        <v>0</v>
      </c>
      <c r="I7" s="72">
        <v>0</v>
      </c>
      <c r="J7" s="72">
        <v>0</v>
      </c>
      <c r="K7" s="72">
        <v>0</v>
      </c>
      <c r="L7" s="72">
        <v>0</v>
      </c>
      <c r="M7" s="72">
        <v>0</v>
      </c>
      <c r="N7" s="72">
        <v>0</v>
      </c>
      <c r="O7" s="72">
        <v>0</v>
      </c>
      <c r="Q7" s="97" t="s">
        <v>101</v>
      </c>
      <c r="R7" s="462" t="s">
        <v>67</v>
      </c>
      <c r="S7" s="99">
        <v>0</v>
      </c>
      <c r="T7" s="99">
        <v>200</v>
      </c>
      <c r="U7" s="100">
        <v>1</v>
      </c>
      <c r="V7" s="99">
        <v>0</v>
      </c>
      <c r="W7" s="101"/>
      <c r="X7" s="102" t="s">
        <v>738</v>
      </c>
      <c r="Y7" s="110"/>
    </row>
    <row r="9" spans="2:25">
      <c r="B9" s="70" t="s">
        <v>739</v>
      </c>
      <c r="C9" s="74" t="s">
        <v>236</v>
      </c>
      <c r="D9" s="66" t="s">
        <v>740</v>
      </c>
      <c r="F9" s="66" t="s">
        <v>741</v>
      </c>
      <c r="Q9" s="96" t="s">
        <v>629</v>
      </c>
      <c r="R9" s="96" t="s">
        <v>176</v>
      </c>
      <c r="S9" s="70" t="s">
        <v>177</v>
      </c>
      <c r="T9" s="70" t="s">
        <v>178</v>
      </c>
      <c r="U9" s="70" t="s">
        <v>179</v>
      </c>
      <c r="V9" s="70" t="s">
        <v>180</v>
      </c>
      <c r="W9" s="70" t="s">
        <v>181</v>
      </c>
      <c r="X9" s="70" t="s">
        <v>182</v>
      </c>
      <c r="Y9" s="123" t="s">
        <v>183</v>
      </c>
    </row>
    <row r="10" spans="2:25">
      <c r="B10" s="75" t="s">
        <v>742</v>
      </c>
      <c r="C10" s="76">
        <v>1</v>
      </c>
      <c r="F10" s="77" t="s">
        <v>743</v>
      </c>
      <c r="G10" s="78"/>
      <c r="Q10" s="103" t="s">
        <v>101</v>
      </c>
      <c r="R10" s="462" t="s">
        <v>91</v>
      </c>
      <c r="S10" s="99">
        <v>1</v>
      </c>
      <c r="T10" s="99">
        <v>8</v>
      </c>
      <c r="U10" s="100">
        <v>1</v>
      </c>
      <c r="V10" s="99">
        <v>1</v>
      </c>
      <c r="W10" s="104"/>
      <c r="X10" s="105" t="s">
        <v>744</v>
      </c>
      <c r="Y10" s="110"/>
    </row>
    <row r="11" spans="2:25">
      <c r="B11" s="70" t="s">
        <v>745</v>
      </c>
      <c r="C11" s="74" t="s">
        <v>236</v>
      </c>
      <c r="Q11" s="96" t="s">
        <v>629</v>
      </c>
      <c r="R11" s="96" t="s">
        <v>176</v>
      </c>
      <c r="S11" s="70" t="s">
        <v>177</v>
      </c>
      <c r="T11" s="70" t="s">
        <v>178</v>
      </c>
      <c r="U11" s="70" t="s">
        <v>179</v>
      </c>
      <c r="V11" s="70" t="s">
        <v>180</v>
      </c>
      <c r="W11" s="70" t="s">
        <v>181</v>
      </c>
      <c r="X11" s="70" t="s">
        <v>182</v>
      </c>
      <c r="Y11" s="123" t="s">
        <v>183</v>
      </c>
    </row>
    <row r="12" spans="2:25">
      <c r="B12" s="75" t="s">
        <v>746</v>
      </c>
      <c r="C12" s="76">
        <v>200</v>
      </c>
      <c r="F12" s="77" t="s">
        <v>747</v>
      </c>
      <c r="G12" s="78"/>
      <c r="Q12" s="103" t="s">
        <v>101</v>
      </c>
      <c r="R12" s="106" t="s">
        <v>67</v>
      </c>
      <c r="S12" s="99">
        <v>0</v>
      </c>
      <c r="T12" s="99">
        <v>500</v>
      </c>
      <c r="U12" s="100">
        <v>1</v>
      </c>
      <c r="V12" s="99">
        <v>0</v>
      </c>
      <c r="W12" s="104"/>
      <c r="X12" s="107" t="s">
        <v>748</v>
      </c>
      <c r="Y12" s="124"/>
    </row>
    <row r="13" spans="2:25">
      <c r="B13" s="75" t="s">
        <v>749</v>
      </c>
      <c r="C13" s="79">
        <v>10</v>
      </c>
      <c r="F13" s="77" t="s">
        <v>750</v>
      </c>
      <c r="G13" s="78"/>
      <c r="Q13" s="103" t="s">
        <v>101</v>
      </c>
      <c r="R13" s="106" t="s">
        <v>90</v>
      </c>
      <c r="S13" s="99">
        <v>0</v>
      </c>
      <c r="T13" s="99">
        <v>100</v>
      </c>
      <c r="U13" s="100">
        <v>1</v>
      </c>
      <c r="V13" s="99">
        <v>10</v>
      </c>
      <c r="W13" s="104"/>
      <c r="X13" s="107" t="s">
        <v>751</v>
      </c>
      <c r="Y13" s="124"/>
    </row>
    <row r="14" spans="2:25">
      <c r="B14" s="75" t="s">
        <v>752</v>
      </c>
      <c r="C14" s="79">
        <v>0</v>
      </c>
      <c r="F14" s="77" t="s">
        <v>753</v>
      </c>
      <c r="G14" s="78"/>
      <c r="Q14" s="103" t="s">
        <v>101</v>
      </c>
      <c r="R14" s="106" t="s">
        <v>90</v>
      </c>
      <c r="S14" s="99">
        <v>0</v>
      </c>
      <c r="T14" s="99">
        <v>100</v>
      </c>
      <c r="U14" s="100">
        <v>1</v>
      </c>
      <c r="V14" s="99">
        <v>0</v>
      </c>
      <c r="W14" s="104"/>
      <c r="X14" s="107" t="s">
        <v>754</v>
      </c>
      <c r="Y14" s="125" t="s">
        <v>755</v>
      </c>
    </row>
    <row r="15" spans="2:25">
      <c r="B15" s="75" t="s">
        <v>756</v>
      </c>
      <c r="C15" s="76">
        <v>200</v>
      </c>
      <c r="F15" s="77" t="s">
        <v>757</v>
      </c>
      <c r="G15" s="78"/>
      <c r="Q15" s="103" t="s">
        <v>101</v>
      </c>
      <c r="R15" s="106" t="s">
        <v>67</v>
      </c>
      <c r="S15" s="99">
        <v>0</v>
      </c>
      <c r="T15" s="99">
        <v>500</v>
      </c>
      <c r="U15" s="100">
        <v>1</v>
      </c>
      <c r="V15" s="99">
        <v>0</v>
      </c>
      <c r="W15" s="104"/>
      <c r="X15" s="107" t="s">
        <v>758</v>
      </c>
      <c r="Y15" s="124"/>
    </row>
    <row r="16" spans="2:25">
      <c r="B16" s="75" t="s">
        <v>759</v>
      </c>
      <c r="C16" s="79">
        <v>0</v>
      </c>
      <c r="F16" s="77" t="s">
        <v>760</v>
      </c>
      <c r="G16" s="78"/>
      <c r="Q16" s="103" t="s">
        <v>101</v>
      </c>
      <c r="R16" s="106" t="s">
        <v>90</v>
      </c>
      <c r="S16" s="99">
        <v>0</v>
      </c>
      <c r="T16" s="99">
        <v>100</v>
      </c>
      <c r="U16" s="100">
        <v>1</v>
      </c>
      <c r="V16" s="99">
        <v>0</v>
      </c>
      <c r="W16" s="104"/>
      <c r="X16" s="107" t="s">
        <v>761</v>
      </c>
      <c r="Y16" s="125" t="s">
        <v>755</v>
      </c>
    </row>
    <row r="17" s="64" customFormat="1" spans="1:25">
      <c r="A17" s="80" t="s">
        <v>762</v>
      </c>
      <c r="B17" s="75" t="s">
        <v>763</v>
      </c>
      <c r="C17" s="79">
        <v>0</v>
      </c>
      <c r="E17" s="66"/>
      <c r="F17" s="77" t="s">
        <v>764</v>
      </c>
      <c r="G17" s="78"/>
      <c r="H17" s="66"/>
      <c r="L17" s="66"/>
      <c r="M17" s="66"/>
      <c r="Q17" s="103" t="s">
        <v>101</v>
      </c>
      <c r="R17" s="106" t="s">
        <v>90</v>
      </c>
      <c r="S17" s="106">
        <v>0</v>
      </c>
      <c r="T17" s="106">
        <v>100</v>
      </c>
      <c r="U17" s="108">
        <v>1</v>
      </c>
      <c r="V17" s="106">
        <v>0</v>
      </c>
      <c r="W17" s="109"/>
      <c r="X17" s="107" t="s">
        <v>765</v>
      </c>
      <c r="Y17" s="126" t="s">
        <v>755</v>
      </c>
    </row>
    <row r="18" outlineLevel="1" spans="2:25">
      <c r="B18" s="70" t="s">
        <v>766</v>
      </c>
      <c r="C18" s="74" t="s">
        <v>236</v>
      </c>
      <c r="Q18" s="96" t="s">
        <v>629</v>
      </c>
      <c r="R18" s="96" t="s">
        <v>176</v>
      </c>
      <c r="S18" s="70" t="s">
        <v>177</v>
      </c>
      <c r="T18" s="70" t="s">
        <v>178</v>
      </c>
      <c r="U18" s="70" t="s">
        <v>179</v>
      </c>
      <c r="V18" s="70" t="s">
        <v>180</v>
      </c>
      <c r="W18" s="70" t="s">
        <v>181</v>
      </c>
      <c r="X18" s="70" t="s">
        <v>182</v>
      </c>
      <c r="Y18" s="123" t="s">
        <v>183</v>
      </c>
    </row>
    <row r="19" outlineLevel="1" spans="2:25">
      <c r="B19" s="75" t="s">
        <v>767</v>
      </c>
      <c r="C19" s="76">
        <v>1</v>
      </c>
      <c r="D19" s="81"/>
      <c r="F19" s="77" t="s">
        <v>768</v>
      </c>
      <c r="G19" s="77"/>
      <c r="Q19" s="103" t="s">
        <v>101</v>
      </c>
      <c r="R19" s="106" t="s">
        <v>91</v>
      </c>
      <c r="S19" s="99">
        <v>0</v>
      </c>
      <c r="T19" s="99">
        <v>2</v>
      </c>
      <c r="U19" s="100">
        <v>1</v>
      </c>
      <c r="V19" s="99">
        <v>1</v>
      </c>
      <c r="W19" s="110"/>
      <c r="X19" s="107" t="s">
        <v>769</v>
      </c>
      <c r="Y19" s="110"/>
    </row>
    <row r="20" outlineLevel="1" spans="2:25">
      <c r="B20" s="75" t="s">
        <v>770</v>
      </c>
      <c r="C20" s="79">
        <v>100</v>
      </c>
      <c r="D20" s="66" t="s">
        <v>771</v>
      </c>
      <c r="F20" s="77" t="s">
        <v>772</v>
      </c>
      <c r="G20" s="77"/>
      <c r="Q20" s="111" t="s">
        <v>101</v>
      </c>
      <c r="R20" s="112" t="s">
        <v>67</v>
      </c>
      <c r="S20" s="113">
        <v>0</v>
      </c>
      <c r="T20" s="113">
        <v>200</v>
      </c>
      <c r="U20" s="114">
        <v>1</v>
      </c>
      <c r="V20" s="113">
        <v>0</v>
      </c>
      <c r="W20" s="115"/>
      <c r="X20" s="116" t="s">
        <v>773</v>
      </c>
      <c r="Y20" s="110"/>
    </row>
    <row r="21" outlineLevel="1" spans="2:25">
      <c r="B21" s="75" t="s">
        <v>774</v>
      </c>
      <c r="C21" s="79">
        <v>100</v>
      </c>
      <c r="D21" s="66" t="s">
        <v>771</v>
      </c>
      <c r="F21" s="77" t="s">
        <v>775</v>
      </c>
      <c r="G21" s="77"/>
      <c r="Q21" s="111" t="s">
        <v>101</v>
      </c>
      <c r="R21" s="112" t="s">
        <v>67</v>
      </c>
      <c r="S21" s="113">
        <v>0</v>
      </c>
      <c r="T21" s="113">
        <v>200</v>
      </c>
      <c r="U21" s="114">
        <v>1</v>
      </c>
      <c r="V21" s="113">
        <v>0</v>
      </c>
      <c r="W21" s="115"/>
      <c r="X21" s="116" t="s">
        <v>776</v>
      </c>
      <c r="Y21" s="110"/>
    </row>
    <row r="22" ht="15" customHeight="1" outlineLevel="1" spans="2:25">
      <c r="B22" s="75" t="s">
        <v>777</v>
      </c>
      <c r="C22" s="79">
        <v>10</v>
      </c>
      <c r="D22" s="66" t="s">
        <v>771</v>
      </c>
      <c r="F22" s="77" t="s">
        <v>778</v>
      </c>
      <c r="G22" s="77"/>
      <c r="Q22" s="103" t="s">
        <v>101</v>
      </c>
      <c r="R22" s="106" t="s">
        <v>90</v>
      </c>
      <c r="S22" s="99">
        <v>0</v>
      </c>
      <c r="T22" s="99">
        <v>100</v>
      </c>
      <c r="U22" s="100">
        <v>1</v>
      </c>
      <c r="V22" s="99">
        <v>50</v>
      </c>
      <c r="W22" s="110"/>
      <c r="X22" s="107" t="s">
        <v>779</v>
      </c>
      <c r="Y22" s="110"/>
    </row>
    <row r="23" spans="2:25">
      <c r="B23" s="82" t="s">
        <v>780</v>
      </c>
      <c r="C23" s="83">
        <v>0</v>
      </c>
      <c r="F23" s="66" t="s">
        <v>781</v>
      </c>
      <c r="Q23" s="103" t="s">
        <v>634</v>
      </c>
      <c r="R23" s="106" t="s">
        <v>91</v>
      </c>
      <c r="S23" s="99">
        <v>0</v>
      </c>
      <c r="T23" s="99">
        <v>2</v>
      </c>
      <c r="U23" s="100">
        <v>1</v>
      </c>
      <c r="V23" s="99">
        <v>0</v>
      </c>
      <c r="W23" s="110"/>
      <c r="X23" s="117" t="s">
        <v>782</v>
      </c>
      <c r="Y23" s="110"/>
    </row>
    <row r="24" spans="2:25">
      <c r="B24" s="82" t="s">
        <v>783</v>
      </c>
      <c r="C24" s="83">
        <v>500</v>
      </c>
      <c r="F24" s="66" t="s">
        <v>784</v>
      </c>
      <c r="Q24" s="103" t="s">
        <v>634</v>
      </c>
      <c r="R24" s="106" t="s">
        <v>67</v>
      </c>
      <c r="S24" s="99">
        <v>100</v>
      </c>
      <c r="T24" s="99">
        <v>500</v>
      </c>
      <c r="U24" s="100">
        <v>1</v>
      </c>
      <c r="V24" s="99">
        <v>500</v>
      </c>
      <c r="W24" s="110"/>
      <c r="X24" s="117" t="s">
        <v>785</v>
      </c>
      <c r="Y24" s="127" t="s">
        <v>786</v>
      </c>
    </row>
    <row r="25" spans="2:25">
      <c r="B25" s="82" t="s">
        <v>787</v>
      </c>
      <c r="C25" s="83">
        <v>0</v>
      </c>
      <c r="F25" s="66" t="s">
        <v>788</v>
      </c>
      <c r="Q25" s="103" t="s">
        <v>634</v>
      </c>
      <c r="R25" s="106" t="s">
        <v>91</v>
      </c>
      <c r="S25" s="99">
        <v>0</v>
      </c>
      <c r="T25" s="99">
        <v>3</v>
      </c>
      <c r="U25" s="100">
        <v>1</v>
      </c>
      <c r="V25" s="99">
        <v>0</v>
      </c>
      <c r="W25" s="110"/>
      <c r="X25" s="117" t="s">
        <v>789</v>
      </c>
      <c r="Y25" s="110"/>
    </row>
    <row r="26" ht="15.75" customHeight="1" spans="2:25">
      <c r="B26" s="82" t="s">
        <v>790</v>
      </c>
      <c r="C26" s="83">
        <v>0</v>
      </c>
      <c r="F26" s="66" t="s">
        <v>791</v>
      </c>
      <c r="Q26" s="103" t="s">
        <v>634</v>
      </c>
      <c r="R26" s="106" t="s">
        <v>91</v>
      </c>
      <c r="S26" s="99">
        <v>0</v>
      </c>
      <c r="T26" s="99">
        <v>3</v>
      </c>
      <c r="U26" s="100">
        <v>1</v>
      </c>
      <c r="V26" s="99">
        <v>0</v>
      </c>
      <c r="W26" s="110"/>
      <c r="X26" s="117" t="s">
        <v>792</v>
      </c>
      <c r="Y26" s="110"/>
    </row>
    <row r="27" spans="2:25">
      <c r="B27" s="82" t="s">
        <v>793</v>
      </c>
      <c r="C27" s="83">
        <v>1</v>
      </c>
      <c r="F27" s="66" t="s">
        <v>794</v>
      </c>
      <c r="Q27" s="103" t="s">
        <v>101</v>
      </c>
      <c r="R27" s="462" t="s">
        <v>91</v>
      </c>
      <c r="S27" s="99">
        <v>0</v>
      </c>
      <c r="T27" s="99">
        <v>2</v>
      </c>
      <c r="U27" s="100">
        <v>1</v>
      </c>
      <c r="V27" s="99">
        <v>0</v>
      </c>
      <c r="W27" s="104"/>
      <c r="X27" s="118" t="s">
        <v>795</v>
      </c>
      <c r="Y27" s="110"/>
    </row>
    <row r="28" spans="2:25">
      <c r="B28" s="75" t="s">
        <v>796</v>
      </c>
      <c r="C28" s="79">
        <v>0</v>
      </c>
      <c r="F28" s="66" t="s">
        <v>797</v>
      </c>
      <c r="Q28" s="103" t="s">
        <v>101</v>
      </c>
      <c r="R28" s="462" t="s">
        <v>91</v>
      </c>
      <c r="S28" s="99">
        <v>0</v>
      </c>
      <c r="T28" s="99">
        <v>2</v>
      </c>
      <c r="U28" s="100">
        <v>1</v>
      </c>
      <c r="V28" s="99">
        <v>0</v>
      </c>
      <c r="W28" s="104"/>
      <c r="X28" s="119" t="s">
        <v>795</v>
      </c>
      <c r="Y28" s="110"/>
    </row>
    <row r="29" spans="2:25">
      <c r="B29" s="84" t="s">
        <v>798</v>
      </c>
      <c r="C29" s="85">
        <v>0</v>
      </c>
      <c r="D29" s="86" t="s">
        <v>799</v>
      </c>
      <c r="F29" s="87" t="s">
        <v>800</v>
      </c>
      <c r="G29" s="87"/>
      <c r="Q29" s="103" t="s">
        <v>101</v>
      </c>
      <c r="R29" s="462" t="s">
        <v>90</v>
      </c>
      <c r="S29" s="99">
        <v>0</v>
      </c>
      <c r="T29" s="99">
        <v>100</v>
      </c>
      <c r="U29" s="100">
        <v>1</v>
      </c>
      <c r="V29" s="99">
        <v>100</v>
      </c>
      <c r="W29" s="104"/>
      <c r="X29" s="120" t="s">
        <v>801</v>
      </c>
      <c r="Y29" s="110"/>
    </row>
    <row r="30" spans="2:25">
      <c r="B30" s="84" t="s">
        <v>802</v>
      </c>
      <c r="C30" s="85">
        <v>0</v>
      </c>
      <c r="D30" s="86" t="s">
        <v>799</v>
      </c>
      <c r="F30" s="87" t="s">
        <v>803</v>
      </c>
      <c r="G30" s="87"/>
      <c r="Q30" s="103" t="s">
        <v>101</v>
      </c>
      <c r="R30" s="462" t="s">
        <v>90</v>
      </c>
      <c r="S30" s="99">
        <v>0</v>
      </c>
      <c r="T30" s="99">
        <v>100</v>
      </c>
      <c r="U30" s="100">
        <v>1</v>
      </c>
      <c r="V30" s="99">
        <v>100</v>
      </c>
      <c r="W30" s="110"/>
      <c r="X30" s="120" t="s">
        <v>804</v>
      </c>
      <c r="Y30" s="110"/>
    </row>
    <row r="31" s="65" customFormat="1" spans="2:25">
      <c r="B31" s="84" t="s">
        <v>805</v>
      </c>
      <c r="C31" s="85">
        <v>0</v>
      </c>
      <c r="F31" s="88" t="s">
        <v>806</v>
      </c>
      <c r="Q31" s="103" t="s">
        <v>634</v>
      </c>
      <c r="R31" s="462" t="s">
        <v>807</v>
      </c>
      <c r="S31" s="99">
        <v>0</v>
      </c>
      <c r="T31" s="99">
        <v>300</v>
      </c>
      <c r="U31" s="100">
        <v>100</v>
      </c>
      <c r="V31" s="99">
        <v>100</v>
      </c>
      <c r="W31" s="121"/>
      <c r="X31" s="122" t="s">
        <v>808</v>
      </c>
      <c r="Y31" s="121"/>
    </row>
    <row r="32" s="65" customFormat="1" spans="2:25">
      <c r="B32" s="84" t="s">
        <v>809</v>
      </c>
      <c r="C32" s="85">
        <v>0</v>
      </c>
      <c r="F32" s="88" t="s">
        <v>810</v>
      </c>
      <c r="Q32" s="103" t="s">
        <v>634</v>
      </c>
      <c r="R32" s="462" t="s">
        <v>807</v>
      </c>
      <c r="S32" s="99">
        <v>0</v>
      </c>
      <c r="T32" s="99">
        <v>300</v>
      </c>
      <c r="U32" s="100">
        <v>100</v>
      </c>
      <c r="V32" s="99">
        <v>100</v>
      </c>
      <c r="W32" s="121"/>
      <c r="X32" s="122" t="s">
        <v>811</v>
      </c>
      <c r="Y32" s="121"/>
    </row>
    <row r="33" s="65" customFormat="1" spans="2:25">
      <c r="B33" s="84" t="s">
        <v>812</v>
      </c>
      <c r="C33" s="85">
        <v>0</v>
      </c>
      <c r="F33" s="88" t="s">
        <v>813</v>
      </c>
      <c r="Q33" s="103" t="s">
        <v>101</v>
      </c>
      <c r="R33" s="462" t="s">
        <v>91</v>
      </c>
      <c r="S33" s="99">
        <v>0</v>
      </c>
      <c r="T33" s="99">
        <v>1</v>
      </c>
      <c r="U33" s="100">
        <v>1</v>
      </c>
      <c r="V33" s="99">
        <v>0</v>
      </c>
      <c r="W33" s="121"/>
      <c r="X33" s="122" t="s">
        <v>814</v>
      </c>
      <c r="Y33" s="121"/>
    </row>
    <row r="34" spans="2:25">
      <c r="B34" s="84" t="s">
        <v>815</v>
      </c>
      <c r="C34" s="85">
        <v>0</v>
      </c>
      <c r="D34" s="65"/>
      <c r="E34" s="65"/>
      <c r="F34" s="89" t="s">
        <v>816</v>
      </c>
      <c r="G34" s="65"/>
      <c r="H34" s="65"/>
      <c r="I34" s="65"/>
      <c r="J34" s="65"/>
      <c r="K34" s="65"/>
      <c r="L34" s="65"/>
      <c r="M34" s="65"/>
      <c r="N34" s="65"/>
      <c r="O34" s="65"/>
      <c r="P34" s="65"/>
      <c r="Q34" s="103" t="s">
        <v>101</v>
      </c>
      <c r="R34" s="462" t="s">
        <v>91</v>
      </c>
      <c r="S34" s="99">
        <v>0</v>
      </c>
      <c r="T34" s="99">
        <v>1</v>
      </c>
      <c r="U34" s="100">
        <v>1</v>
      </c>
      <c r="V34" s="99">
        <v>0</v>
      </c>
      <c r="W34" s="121"/>
      <c r="X34" s="122" t="s">
        <v>817</v>
      </c>
      <c r="Y34" s="121"/>
    </row>
  </sheetData>
  <sheetProtection password="CA04" sheet="1" objects="1" scenarios="1"/>
  <protectedRanges>
    <protectedRange sqref="C29:C30" name="区域2_1_1"/>
    <protectedRange sqref="C20:C21 C34" name="区域2_2"/>
    <protectedRange sqref="C9:C10" name="区域2_1"/>
    <protectedRange sqref="C4:O7" name="区域1"/>
    <protectedRange sqref="C22 C11:C19" name="区域2"/>
  </protectedRanges>
  <mergeCells count="3">
    <mergeCell ref="H3:I3"/>
    <mergeCell ref="H4:I4"/>
    <mergeCell ref="H5:I5"/>
  </mergeCells>
  <conditionalFormatting sqref="W10">
    <cfRule type="duplicateValues" dxfId="7" priority="4"/>
  </conditionalFormatting>
  <conditionalFormatting sqref="W14">
    <cfRule type="duplicateValues" dxfId="7" priority="13"/>
  </conditionalFormatting>
  <conditionalFormatting sqref="W27">
    <cfRule type="duplicateValues" dxfId="7" priority="1"/>
  </conditionalFormatting>
  <conditionalFormatting sqref="W28">
    <cfRule type="duplicateValues" dxfId="7" priority="3"/>
  </conditionalFormatting>
  <conditionalFormatting sqref="W29">
    <cfRule type="duplicateValues" dxfId="7" priority="2"/>
  </conditionalFormatting>
  <conditionalFormatting sqref="W12:W13 W15:W16">
    <cfRule type="duplicateValues" dxfId="7" priority="15"/>
  </conditionalFormatting>
  <dataValidations count="10">
    <dataValidation type="whole" operator="between" allowBlank="1" showInputMessage="1" showErrorMessage="1" sqref="C4:H4 J4:O4">
      <formula1>$S$4</formula1>
      <formula2>$T$4</formula2>
    </dataValidation>
    <dataValidation type="list" allowBlank="1" showInputMessage="1" showErrorMessage="1" error="Invalid value!" sqref="R12:R17 R19:R26 R29:R34">
      <formula1>list_Unit</formula1>
    </dataValidation>
    <dataValidation type="whole" operator="between" allowBlank="1" showInputMessage="1" showErrorMessage="1" sqref="C5:H5 J5:O5 P7 D18:D19 I18:P22">
      <formula1>$S$5</formula1>
      <formula2>$T$5</formula2>
    </dataValidation>
    <dataValidation type="decimal" operator="between" allowBlank="1" showInputMessage="1" showErrorMessage="1" sqref="C10 C17 C6:C7 C19:C22 I6:O7">
      <formula1>S6</formula1>
      <formula2>T6</formula2>
    </dataValidation>
    <dataValidation type="custom" allowBlank="1" showInputMessage="1" showErrorMessage="1" error="Invalid value or incorrect plausibility!&#10;&#10;pLedIntensityPos ≥ pLedIntensityPosTi;&#10;" sqref="C14">
      <formula1>AND(C14*10=INT(C14*10),C14&gt;=$D14,C14&lt;=$N14,C13&gt;=C14)</formula1>
    </dataValidation>
    <dataValidation type="list" allowBlank="1" showInputMessage="1" showErrorMessage="1" sqref="R10 R18 R4:R7 R27:R28">
      <formula1>list_Unit</formula1>
    </dataValidation>
    <dataValidation type="custom" allowBlank="1" showInputMessage="1" showErrorMessage="1" error="Invalid value or incorrect plausibility!&#10;&#10;pLedIntensityPos ≥ pLedIntensityPosTi&#10;&#10;Range 0,1 - 2,5 is excluded due to diagnostic reasons." sqref="C13">
      <formula1>AND(C13*10=INT(C13*10),OR(C13=$D13,C13&gt;2.5),C13&lt;=$N13,C13&gt;=C14)</formula1>
    </dataValidation>
    <dataValidation type="list" allowBlank="1" showInputMessage="1" showErrorMessage="1" error="Invalid value!" sqref="C12 C15">
      <formula1>list_DrlPosTime</formula1>
    </dataValidation>
    <dataValidation type="whole" operator="between" allowBlank="1" showInputMessage="1" showErrorMessage="1" sqref="C34">
      <formula1>S34</formula1>
      <formula2>T34</formula2>
    </dataValidation>
    <dataValidation type="decimal" operator="between" allowBlank="1" showInputMessage="1" showErrorMessage="1" sqref="E6:H7">
      <formula1>V6</formula1>
      <formula2>W6</formula2>
    </dataValidation>
  </dataValidations>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FF0000"/>
  </sheetPr>
  <dimension ref="A1:P9"/>
  <sheetViews>
    <sheetView workbookViewId="0">
      <selection activeCell="P9" sqref="P9"/>
    </sheetView>
  </sheetViews>
  <sheetFormatPr defaultColWidth="9" defaultRowHeight="14"/>
  <sheetData>
    <row r="1" spans="1:2">
      <c r="A1">
        <v>1</v>
      </c>
      <c r="B1" s="62" t="s">
        <v>818</v>
      </c>
    </row>
    <row r="9" spans="1:16">
      <c r="A9">
        <v>2</v>
      </c>
      <c r="B9" s="62" t="s">
        <v>819</v>
      </c>
      <c r="P9" s="62"/>
    </row>
  </sheetData>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C2:E11"/>
  <sheetViews>
    <sheetView showGridLines="0" workbookViewId="0">
      <selection activeCell="E11" sqref="E11"/>
    </sheetView>
  </sheetViews>
  <sheetFormatPr defaultColWidth="9" defaultRowHeight="14" outlineLevelCol="4"/>
  <cols>
    <col min="1" max="2" width="9" style="47"/>
    <col min="3" max="3" width="28.375" style="47" customWidth="1"/>
    <col min="4" max="4" width="85.375" style="47" customWidth="1"/>
    <col min="5" max="5" width="85.375" style="48" customWidth="1"/>
    <col min="6" max="16384" width="9" style="47"/>
  </cols>
  <sheetData>
    <row r="2" ht="14.75"/>
    <row r="3" ht="14.75" spans="3:5">
      <c r="C3" s="49" t="s">
        <v>820</v>
      </c>
      <c r="D3" s="50" t="s">
        <v>821</v>
      </c>
      <c r="E3" s="51" t="s">
        <v>182</v>
      </c>
    </row>
    <row r="4" ht="318.6" customHeight="1" spans="3:5">
      <c r="C4" s="52" t="s">
        <v>822</v>
      </c>
      <c r="D4" s="53"/>
      <c r="E4" s="54" t="s">
        <v>823</v>
      </c>
    </row>
    <row r="5" ht="318.6" customHeight="1" spans="3:5">
      <c r="C5" s="55" t="s">
        <v>824</v>
      </c>
      <c r="D5" s="56"/>
      <c r="E5" s="57" t="s">
        <v>825</v>
      </c>
    </row>
    <row r="6" ht="320.1" customHeight="1" spans="3:5">
      <c r="C6" s="55" t="s">
        <v>826</v>
      </c>
      <c r="D6" s="56"/>
      <c r="E6" s="57" t="s">
        <v>827</v>
      </c>
    </row>
    <row r="7" ht="318.6" customHeight="1" spans="3:5">
      <c r="C7" s="55" t="s">
        <v>828</v>
      </c>
      <c r="D7" s="56"/>
      <c r="E7" s="57" t="s">
        <v>829</v>
      </c>
    </row>
    <row r="8" ht="318.6" customHeight="1" spans="3:5">
      <c r="C8" s="58" t="s">
        <v>830</v>
      </c>
      <c r="D8" s="59"/>
      <c r="E8" s="60" t="s">
        <v>831</v>
      </c>
    </row>
    <row r="9" ht="318.6" customHeight="1" spans="3:5">
      <c r="C9" s="58" t="s">
        <v>832</v>
      </c>
      <c r="D9" s="59"/>
      <c r="E9" s="60" t="s">
        <v>833</v>
      </c>
    </row>
    <row r="10" ht="267.75" customHeight="1" spans="3:5">
      <c r="C10" s="58" t="s">
        <v>834</v>
      </c>
      <c r="D10" s="59"/>
      <c r="E10" s="60" t="s">
        <v>835</v>
      </c>
    </row>
    <row r="11" ht="261" customHeight="1" spans="3:5">
      <c r="C11" s="58" t="s">
        <v>836</v>
      </c>
      <c r="D11" s="61"/>
      <c r="E11" s="60" t="s">
        <v>837</v>
      </c>
    </row>
  </sheetData>
  <sheetProtection algorithmName="SHA-512" hashValue="8WJwP0mzkgetu8E3Q8sSps1ZcHaOutK+lmRF50LsKg3SZr+dCUgAxEJJ4l9wpK3NoXpeu4qnxUMsUyQKB9mVCw==" saltValue="i2y6oM+oBwv+9SxCyqLlWQ==" spinCount="100000" sheet="1" selectLockedCells="1" selectUnlockedCells="1"/>
  <pageMargins left="0.7" right="0.7" top="0.75" bottom="0.75" header="0.3" footer="0.3"/>
  <pageSetup paperSize="1" orientation="portrait"/>
  <headerFooter>
    <oddHeader>&amp;R&amp;"Arial"&amp;9&amp;K737373 Information Classification: Internal&amp;1#</oddHeader>
  </headerFooter>
  <drawing r:id="rId1"/>
  <legacyDrawing r:id="rId2"/>
  <oleObjects>
    <mc:AlternateContent xmlns:mc="http://schemas.openxmlformats.org/markup-compatibility/2006">
      <mc:Choice Requires="x14">
        <oleObject shapeId="82945" progId="Visio" r:id="rId3">
          <objectPr defaultSize="0" r:id="rId4">
            <anchor moveWithCells="1">
              <from>
                <xdr:col>3</xdr:col>
                <xdr:colOff>85725</xdr:colOff>
                <xdr:row>3</xdr:row>
                <xdr:rowOff>47625</xdr:rowOff>
              </from>
              <to>
                <xdr:col>3</xdr:col>
                <xdr:colOff>5781675</xdr:colOff>
                <xdr:row>3</xdr:row>
                <xdr:rowOff>4029075</xdr:rowOff>
              </to>
            </anchor>
          </objectPr>
        </oleObject>
      </mc:Choice>
      <mc:Fallback>
        <oleObject shapeId="82945" progId="Visio" r:id="rId3"/>
      </mc:Fallback>
    </mc:AlternateContent>
  </oleObjec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48"/>
  <sheetViews>
    <sheetView workbookViewId="0">
      <pane xSplit="1" ySplit="2" topLeftCell="B3" activePane="bottomRight" state="frozen"/>
      <selection/>
      <selection pane="topRight"/>
      <selection pane="bottomLeft"/>
      <selection pane="bottomRight" activeCell="G20" sqref="G20:G25"/>
    </sheetView>
  </sheetViews>
  <sheetFormatPr defaultColWidth="8.375" defaultRowHeight="11.5" outlineLevelCol="6"/>
  <cols>
    <col min="1" max="1" width="4" style="2" customWidth="1"/>
    <col min="2" max="2" width="4.375" style="2" customWidth="1"/>
    <col min="3" max="3" width="26.375" style="2" customWidth="1"/>
    <col min="4" max="4" width="6.375" style="2" customWidth="1"/>
    <col min="5" max="5" width="5.375" style="2" customWidth="1"/>
    <col min="6" max="6" width="65.375" style="2" customWidth="1"/>
    <col min="7" max="7" width="94.375" style="2" customWidth="1"/>
    <col min="8" max="16384" width="8.375" style="2"/>
  </cols>
  <sheetData>
    <row r="1" ht="12.25" spans="1:6">
      <c r="A1" s="1"/>
      <c r="B1" s="1"/>
      <c r="C1" s="3"/>
      <c r="D1" s="4"/>
      <c r="E1" s="4"/>
      <c r="F1" s="3"/>
    </row>
    <row r="2" ht="15.75" customHeight="1" spans="1:7">
      <c r="A2" s="5"/>
      <c r="B2" s="5"/>
      <c r="C2" s="6" t="s">
        <v>181</v>
      </c>
      <c r="D2" s="7" t="s">
        <v>838</v>
      </c>
      <c r="E2" s="7" t="s">
        <v>839</v>
      </c>
      <c r="F2" s="6" t="s">
        <v>182</v>
      </c>
      <c r="G2" s="8" t="s">
        <v>840</v>
      </c>
    </row>
    <row r="3" s="1" customFormat="1" ht="12" customHeight="1" spans="1:7">
      <c r="A3" s="5"/>
      <c r="B3" s="5"/>
      <c r="C3" s="9" t="s">
        <v>841</v>
      </c>
      <c r="D3" s="10">
        <v>0</v>
      </c>
      <c r="E3" s="10" t="s">
        <v>139</v>
      </c>
      <c r="F3" s="11" t="s">
        <v>842</v>
      </c>
      <c r="G3" s="12" t="s">
        <v>843</v>
      </c>
    </row>
    <row r="4" s="1" customFormat="1" ht="12" customHeight="1" spans="1:7">
      <c r="A4" s="5"/>
      <c r="B4" s="5"/>
      <c r="C4" s="13"/>
      <c r="D4" s="14">
        <v>1</v>
      </c>
      <c r="E4" s="14" t="s">
        <v>139</v>
      </c>
      <c r="F4" s="15" t="s">
        <v>844</v>
      </c>
      <c r="G4" s="16"/>
    </row>
    <row r="5" s="1" customFormat="1" ht="12" customHeight="1" spans="1:7">
      <c r="A5" s="5"/>
      <c r="B5" s="5"/>
      <c r="C5" s="13"/>
      <c r="D5" s="14">
        <v>2</v>
      </c>
      <c r="E5" s="14" t="s">
        <v>139</v>
      </c>
      <c r="F5" s="15" t="s">
        <v>845</v>
      </c>
      <c r="G5" s="16"/>
    </row>
    <row r="6" s="1" customFormat="1" ht="12" customHeight="1" spans="1:7">
      <c r="A6" s="5"/>
      <c r="B6" s="5"/>
      <c r="C6" s="13"/>
      <c r="D6" s="14">
        <v>3</v>
      </c>
      <c r="E6" s="14" t="s">
        <v>139</v>
      </c>
      <c r="F6" s="15" t="s">
        <v>846</v>
      </c>
      <c r="G6" s="16"/>
    </row>
    <row r="7" s="1" customFormat="1" ht="12" customHeight="1" spans="1:7">
      <c r="A7" s="5"/>
      <c r="B7" s="5"/>
      <c r="C7" s="13"/>
      <c r="D7" s="14">
        <v>4</v>
      </c>
      <c r="E7" s="14" t="s">
        <v>139</v>
      </c>
      <c r="F7" s="15" t="s">
        <v>847</v>
      </c>
      <c r="G7" s="16"/>
    </row>
    <row r="8" s="1" customFormat="1" ht="12" customHeight="1" spans="1:7">
      <c r="A8" s="5"/>
      <c r="B8" s="5"/>
      <c r="C8" s="13"/>
      <c r="D8" s="14">
        <v>5</v>
      </c>
      <c r="E8" s="14" t="s">
        <v>139</v>
      </c>
      <c r="F8" s="17" t="s">
        <v>848</v>
      </c>
      <c r="G8" s="16"/>
    </row>
    <row r="9" s="1" customFormat="1" ht="12" customHeight="1" spans="1:7">
      <c r="A9" s="5"/>
      <c r="B9" s="5"/>
      <c r="C9" s="13"/>
      <c r="D9" s="14">
        <v>6</v>
      </c>
      <c r="E9" s="14" t="s">
        <v>139</v>
      </c>
      <c r="F9" s="15" t="s">
        <v>849</v>
      </c>
      <c r="G9" s="16"/>
    </row>
    <row r="10" ht="12" customHeight="1" spans="3:7">
      <c r="C10" s="18"/>
      <c r="D10" s="14">
        <v>7</v>
      </c>
      <c r="E10" s="19" t="s">
        <v>139</v>
      </c>
      <c r="F10" s="15" t="s">
        <v>850</v>
      </c>
      <c r="G10" s="20"/>
    </row>
    <row r="11" s="1" customFormat="1" ht="12" customHeight="1" spans="1:7">
      <c r="A11" s="5"/>
      <c r="B11" s="5"/>
      <c r="C11" s="9" t="s">
        <v>851</v>
      </c>
      <c r="D11" s="10">
        <v>0</v>
      </c>
      <c r="E11" s="10" t="s">
        <v>139</v>
      </c>
      <c r="F11" s="11" t="s">
        <v>842</v>
      </c>
      <c r="G11" s="12" t="s">
        <v>852</v>
      </c>
    </row>
    <row r="12" s="1" customFormat="1" ht="12" customHeight="1" spans="1:7">
      <c r="A12" s="5"/>
      <c r="B12" s="5"/>
      <c r="C12" s="21"/>
      <c r="D12" s="14">
        <v>1</v>
      </c>
      <c r="E12" s="14" t="s">
        <v>139</v>
      </c>
      <c r="F12" s="17" t="s">
        <v>853</v>
      </c>
      <c r="G12" s="22"/>
    </row>
    <row r="13" s="1" customFormat="1" ht="12" customHeight="1" spans="1:7">
      <c r="A13" s="5"/>
      <c r="B13" s="5"/>
      <c r="C13" s="21"/>
      <c r="D13" s="14">
        <v>2</v>
      </c>
      <c r="E13" s="14" t="s">
        <v>139</v>
      </c>
      <c r="F13" s="17" t="s">
        <v>854</v>
      </c>
      <c r="G13" s="22"/>
    </row>
    <row r="14" s="1" customFormat="1" ht="12" customHeight="1" spans="1:7">
      <c r="A14" s="5"/>
      <c r="B14" s="5"/>
      <c r="C14" s="21"/>
      <c r="D14" s="14">
        <v>3</v>
      </c>
      <c r="E14" s="14" t="s">
        <v>139</v>
      </c>
      <c r="F14" s="17" t="s">
        <v>855</v>
      </c>
      <c r="G14" s="22"/>
    </row>
    <row r="15" s="1" customFormat="1" ht="12" customHeight="1" spans="1:7">
      <c r="A15" s="5"/>
      <c r="B15" s="5"/>
      <c r="C15" s="21"/>
      <c r="D15" s="14">
        <v>4</v>
      </c>
      <c r="E15" s="14" t="s">
        <v>139</v>
      </c>
      <c r="F15" s="17" t="s">
        <v>856</v>
      </c>
      <c r="G15" s="22"/>
    </row>
    <row r="16" s="1" customFormat="1" ht="12" customHeight="1" spans="1:7">
      <c r="A16" s="5"/>
      <c r="B16" s="5"/>
      <c r="C16" s="21"/>
      <c r="D16" s="14">
        <v>5</v>
      </c>
      <c r="E16" s="14" t="s">
        <v>139</v>
      </c>
      <c r="F16" s="17" t="s">
        <v>857</v>
      </c>
      <c r="G16" s="22"/>
    </row>
    <row r="17" s="1" customFormat="1" ht="12" customHeight="1" spans="1:7">
      <c r="A17" s="5"/>
      <c r="B17" s="5"/>
      <c r="C17" s="21"/>
      <c r="D17" s="14">
        <v>6</v>
      </c>
      <c r="E17" s="14" t="s">
        <v>139</v>
      </c>
      <c r="F17" s="15" t="s">
        <v>858</v>
      </c>
      <c r="G17" s="22"/>
    </row>
    <row r="18" s="1" customFormat="1" ht="12" customHeight="1" spans="1:7">
      <c r="A18" s="5"/>
      <c r="B18" s="5"/>
      <c r="C18" s="21"/>
      <c r="D18" s="14">
        <v>7</v>
      </c>
      <c r="E18" s="14" t="s">
        <v>139</v>
      </c>
      <c r="F18" s="15" t="s">
        <v>859</v>
      </c>
      <c r="G18" s="22"/>
    </row>
    <row r="19" ht="12" customHeight="1" spans="3:7">
      <c r="C19" s="18"/>
      <c r="D19" s="14" t="s">
        <v>860</v>
      </c>
      <c r="E19" s="19" t="s">
        <v>139</v>
      </c>
      <c r="F19" s="23" t="s">
        <v>861</v>
      </c>
      <c r="G19" s="20"/>
    </row>
    <row r="20" s="1" customFormat="1" ht="12" customHeight="1" spans="1:7">
      <c r="A20" s="5"/>
      <c r="B20" s="5"/>
      <c r="C20" s="24" t="s">
        <v>862</v>
      </c>
      <c r="D20" s="10">
        <v>1</v>
      </c>
      <c r="E20" s="10" t="s">
        <v>139</v>
      </c>
      <c r="F20" s="25" t="s">
        <v>863</v>
      </c>
      <c r="G20" s="12" t="s">
        <v>864</v>
      </c>
    </row>
    <row r="21" s="1" customFormat="1" ht="12" customHeight="1" spans="1:7">
      <c r="A21" s="5"/>
      <c r="B21" s="5"/>
      <c r="C21" s="21"/>
      <c r="D21" s="14">
        <v>2</v>
      </c>
      <c r="E21" s="14" t="s">
        <v>139</v>
      </c>
      <c r="F21" s="17" t="s">
        <v>865</v>
      </c>
      <c r="G21" s="22"/>
    </row>
    <row r="22" s="1" customFormat="1" ht="12" customHeight="1" spans="1:7">
      <c r="A22" s="5"/>
      <c r="B22" s="5"/>
      <c r="C22" s="21"/>
      <c r="D22" s="14">
        <v>4</v>
      </c>
      <c r="E22" s="14" t="s">
        <v>139</v>
      </c>
      <c r="F22" s="17" t="s">
        <v>866</v>
      </c>
      <c r="G22" s="22"/>
    </row>
    <row r="23" s="1" customFormat="1" ht="12" customHeight="1" spans="1:7">
      <c r="A23" s="5"/>
      <c r="B23" s="5"/>
      <c r="C23" s="21"/>
      <c r="D23" s="14">
        <v>8</v>
      </c>
      <c r="E23" s="14" t="s">
        <v>139</v>
      </c>
      <c r="F23" s="17" t="s">
        <v>867</v>
      </c>
      <c r="G23" s="22"/>
    </row>
    <row r="24" s="1" customFormat="1" ht="12" customHeight="1" spans="1:7">
      <c r="A24" s="5"/>
      <c r="B24" s="5"/>
      <c r="C24" s="21"/>
      <c r="D24" s="14">
        <v>16</v>
      </c>
      <c r="E24" s="14" t="s">
        <v>139</v>
      </c>
      <c r="F24" s="17" t="s">
        <v>868</v>
      </c>
      <c r="G24" s="22"/>
    </row>
    <row r="25" ht="12.25" spans="3:7">
      <c r="C25" s="18"/>
      <c r="D25" s="14" t="s">
        <v>860</v>
      </c>
      <c r="E25" s="19" t="s">
        <v>139</v>
      </c>
      <c r="F25" s="23" t="s">
        <v>861</v>
      </c>
      <c r="G25" s="20"/>
    </row>
    <row r="26" s="1" customFormat="1" ht="12" customHeight="1" spans="1:7">
      <c r="A26" s="5"/>
      <c r="B26" s="5"/>
      <c r="C26" s="26" t="s">
        <v>869</v>
      </c>
      <c r="D26" s="10" t="s">
        <v>139</v>
      </c>
      <c r="E26" s="10">
        <v>0</v>
      </c>
      <c r="F26" s="11" t="s">
        <v>870</v>
      </c>
      <c r="G26" s="12" t="s">
        <v>871</v>
      </c>
    </row>
    <row r="27" s="1" customFormat="1" ht="12" customHeight="1" spans="1:7">
      <c r="A27" s="5"/>
      <c r="B27" s="5"/>
      <c r="C27" s="27"/>
      <c r="D27" s="14" t="s">
        <v>139</v>
      </c>
      <c r="E27" s="28">
        <v>1</v>
      </c>
      <c r="F27" s="15" t="s">
        <v>872</v>
      </c>
      <c r="G27" s="16"/>
    </row>
    <row r="28" s="1" customFormat="1" ht="12" customHeight="1" spans="1:7">
      <c r="A28" s="5"/>
      <c r="B28" s="5"/>
      <c r="C28" s="27"/>
      <c r="D28" s="14" t="s">
        <v>139</v>
      </c>
      <c r="E28" s="28">
        <v>2</v>
      </c>
      <c r="F28" s="15" t="s">
        <v>873</v>
      </c>
      <c r="G28" s="16"/>
    </row>
    <row r="29" s="1" customFormat="1" ht="12" customHeight="1" spans="1:7">
      <c r="A29" s="5"/>
      <c r="B29" s="5"/>
      <c r="C29" s="27"/>
      <c r="D29" s="14" t="s">
        <v>139</v>
      </c>
      <c r="E29" s="28">
        <v>3</v>
      </c>
      <c r="F29" s="15" t="s">
        <v>874</v>
      </c>
      <c r="G29" s="16"/>
    </row>
    <row r="30" s="1" customFormat="1" ht="12" customHeight="1" spans="1:7">
      <c r="A30" s="5"/>
      <c r="B30" s="5"/>
      <c r="C30" s="29"/>
      <c r="D30" s="14" t="s">
        <v>139</v>
      </c>
      <c r="E30" s="28">
        <v>4</v>
      </c>
      <c r="F30" s="15" t="s">
        <v>875</v>
      </c>
      <c r="G30" s="16"/>
    </row>
    <row r="31" s="1" customFormat="1" ht="12" customHeight="1" spans="1:7">
      <c r="A31" s="5"/>
      <c r="B31" s="5"/>
      <c r="C31" s="29"/>
      <c r="D31" s="14" t="s">
        <v>139</v>
      </c>
      <c r="E31" s="28">
        <v>5</v>
      </c>
      <c r="F31" s="15" t="s">
        <v>876</v>
      </c>
      <c r="G31" s="16"/>
    </row>
    <row r="32" s="1" customFormat="1" ht="12" customHeight="1" spans="1:7">
      <c r="A32" s="5"/>
      <c r="B32" s="5"/>
      <c r="C32" s="29"/>
      <c r="D32" s="14" t="s">
        <v>139</v>
      </c>
      <c r="E32" s="28">
        <v>6</v>
      </c>
      <c r="F32" s="15" t="s">
        <v>877</v>
      </c>
      <c r="G32" s="16"/>
    </row>
    <row r="33" s="1" customFormat="1" ht="12" customHeight="1" spans="1:7">
      <c r="A33" s="5"/>
      <c r="B33" s="5"/>
      <c r="C33" s="29"/>
      <c r="D33" s="14" t="s">
        <v>139</v>
      </c>
      <c r="E33" s="28">
        <v>7</v>
      </c>
      <c r="F33" s="15" t="s">
        <v>878</v>
      </c>
      <c r="G33" s="16"/>
    </row>
    <row r="34" s="1" customFormat="1" ht="12" customHeight="1" spans="1:7">
      <c r="A34" s="5"/>
      <c r="B34" s="5"/>
      <c r="C34" s="29"/>
      <c r="D34" s="14" t="s">
        <v>139</v>
      </c>
      <c r="E34" s="28">
        <v>8</v>
      </c>
      <c r="F34" s="15" t="s">
        <v>879</v>
      </c>
      <c r="G34" s="16"/>
    </row>
    <row r="35" s="1" customFormat="1" ht="12" customHeight="1" spans="1:7">
      <c r="A35" s="5"/>
      <c r="B35" s="5"/>
      <c r="C35" s="29"/>
      <c r="D35" s="14" t="s">
        <v>139</v>
      </c>
      <c r="E35" s="28">
        <v>9</v>
      </c>
      <c r="F35" s="15" t="s">
        <v>880</v>
      </c>
      <c r="G35" s="16"/>
    </row>
    <row r="36" s="1" customFormat="1" ht="12" customHeight="1" spans="1:7">
      <c r="A36" s="5"/>
      <c r="B36" s="5"/>
      <c r="C36" s="29"/>
      <c r="D36" s="14" t="s">
        <v>139</v>
      </c>
      <c r="E36" s="28">
        <v>10</v>
      </c>
      <c r="F36" s="15" t="s">
        <v>881</v>
      </c>
      <c r="G36" s="16"/>
    </row>
    <row r="37" s="1" customFormat="1" ht="12.75" customHeight="1" spans="1:7">
      <c r="A37" s="5"/>
      <c r="B37" s="5"/>
      <c r="C37" s="30"/>
      <c r="D37" s="14" t="s">
        <v>139</v>
      </c>
      <c r="E37" s="28">
        <v>11</v>
      </c>
      <c r="F37" s="15" t="s">
        <v>882</v>
      </c>
      <c r="G37" s="31"/>
    </row>
    <row r="38" s="1" customFormat="1" ht="12" customHeight="1" spans="1:7">
      <c r="A38" s="5"/>
      <c r="B38" s="5"/>
      <c r="C38" s="32" t="s">
        <v>883</v>
      </c>
      <c r="D38" s="10">
        <v>1</v>
      </c>
      <c r="E38" s="10" t="s">
        <v>139</v>
      </c>
      <c r="F38" s="11" t="s">
        <v>884</v>
      </c>
      <c r="G38" s="12" t="s">
        <v>885</v>
      </c>
    </row>
    <row r="39" s="1" customFormat="1" ht="12" customHeight="1" spans="1:7">
      <c r="A39" s="5"/>
      <c r="B39" s="5"/>
      <c r="C39" s="33"/>
      <c r="D39" s="14">
        <v>2</v>
      </c>
      <c r="E39" s="14" t="s">
        <v>139</v>
      </c>
      <c r="F39" s="15" t="s">
        <v>157</v>
      </c>
      <c r="G39" s="16"/>
    </row>
    <row r="40" s="1" customFormat="1" ht="12" customHeight="1" spans="1:7">
      <c r="A40" s="5"/>
      <c r="B40" s="5"/>
      <c r="C40" s="33"/>
      <c r="D40" s="14">
        <v>4</v>
      </c>
      <c r="E40" s="14" t="s">
        <v>139</v>
      </c>
      <c r="F40" s="15" t="s">
        <v>886</v>
      </c>
      <c r="G40" s="16"/>
    </row>
    <row r="41" s="1" customFormat="1" ht="12" customHeight="1" spans="1:7">
      <c r="A41" s="5"/>
      <c r="B41" s="5"/>
      <c r="C41" s="33"/>
      <c r="D41" s="14">
        <v>8</v>
      </c>
      <c r="E41" s="14" t="s">
        <v>139</v>
      </c>
      <c r="F41" s="15" t="s">
        <v>887</v>
      </c>
      <c r="G41" s="16"/>
    </row>
    <row r="42" s="1" customFormat="1" ht="12" customHeight="1" spans="1:7">
      <c r="A42" s="5"/>
      <c r="B42" s="5"/>
      <c r="C42" s="34"/>
      <c r="D42" s="14">
        <v>16</v>
      </c>
      <c r="E42" s="14" t="s">
        <v>139</v>
      </c>
      <c r="F42" s="15" t="s">
        <v>888</v>
      </c>
      <c r="G42" s="16"/>
    </row>
    <row r="43" ht="12.25" spans="3:7">
      <c r="C43" s="35"/>
      <c r="D43" s="36" t="s">
        <v>860</v>
      </c>
      <c r="E43" s="37" t="s">
        <v>139</v>
      </c>
      <c r="F43" s="38" t="s">
        <v>861</v>
      </c>
      <c r="G43" s="20"/>
    </row>
    <row r="44" ht="12" customHeight="1" spans="2:7">
      <c r="B44" s="5"/>
      <c r="C44" s="39" t="s">
        <v>889</v>
      </c>
      <c r="D44" s="10">
        <v>4</v>
      </c>
      <c r="E44" s="40" t="s">
        <v>139</v>
      </c>
      <c r="F44" s="41" t="s">
        <v>890</v>
      </c>
      <c r="G44" s="12" t="s">
        <v>891</v>
      </c>
    </row>
    <row r="45" spans="3:7">
      <c r="C45" s="42"/>
      <c r="D45" s="14">
        <v>8</v>
      </c>
      <c r="E45" s="19" t="s">
        <v>139</v>
      </c>
      <c r="F45" s="23" t="s">
        <v>892</v>
      </c>
      <c r="G45" s="16"/>
    </row>
    <row r="46" spans="3:7">
      <c r="C46" s="42"/>
      <c r="D46" s="14">
        <v>16</v>
      </c>
      <c r="E46" s="19" t="s">
        <v>139</v>
      </c>
      <c r="F46" s="23" t="s">
        <v>893</v>
      </c>
      <c r="G46" s="16"/>
    </row>
    <row r="47" spans="3:7">
      <c r="C47" s="42"/>
      <c r="D47" s="14">
        <v>32</v>
      </c>
      <c r="E47" s="19" t="s">
        <v>139</v>
      </c>
      <c r="F47" s="23" t="s">
        <v>894</v>
      </c>
      <c r="G47" s="16"/>
    </row>
    <row r="48" ht="12.25" spans="3:7">
      <c r="C48" s="43"/>
      <c r="D48" s="44" t="s">
        <v>860</v>
      </c>
      <c r="E48" s="45" t="s">
        <v>139</v>
      </c>
      <c r="F48" s="46" t="s">
        <v>861</v>
      </c>
      <c r="G48" s="31"/>
    </row>
  </sheetData>
  <mergeCells count="12">
    <mergeCell ref="C3:C10"/>
    <mergeCell ref="C11:C19"/>
    <mergeCell ref="C20:C25"/>
    <mergeCell ref="C26:C37"/>
    <mergeCell ref="C38:C42"/>
    <mergeCell ref="C44:C48"/>
    <mergeCell ref="G3:G10"/>
    <mergeCell ref="G11:G19"/>
    <mergeCell ref="G20:G25"/>
    <mergeCell ref="G26:G37"/>
    <mergeCell ref="G38:G43"/>
    <mergeCell ref="G44:G48"/>
  </mergeCells>
  <conditionalFormatting sqref="D3:E48">
    <cfRule type="containsBlanks" dxfId="3" priority="1">
      <formula>LEN(TRIM(D3))=0</formula>
    </cfRule>
  </conditionalFormatting>
  <pageMargins left="0.7" right="0.7" top="0.75" bottom="0.75" header="0.3" footer="0.3"/>
  <pageSetup paperSize="1" orientation="portrait"/>
  <headerFooter>
    <oddFooter>&amp;C&amp;1#&amp;"Calibri"&amp;10&amp;K000000Internal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:S�W :S�W :S�W :S�W :S�W :S�W :S�W :S�W :S�W :S�W :S�W :S�W :S�W :S�W :S�W :S�W :S�W :S�W :S�W :S�W :S�W :S�W :S�W :S�W :S�W :S�W :S�W :S�W :S�W :S�W 
</file>

<file path=customXml/itemProps1.xml><?xml version="1.0" encoding="utf-8"?>
<ds:datastoreItem xmlns:ds="http://schemas.openxmlformats.org/officeDocument/2006/customXml" ds:itemID="{5A5607D9-04D2-4DE1-AC0E-A7772F01BC71}">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Version Information</vt:lpstr>
      <vt:lpstr>data2</vt:lpstr>
      <vt:lpstr>项目名称</vt:lpstr>
      <vt:lpstr>Title Page</vt:lpstr>
      <vt:lpstr> Mapping</vt:lpstr>
      <vt:lpstr>ChnConfig+Derating</vt:lpstr>
      <vt:lpstr>NTC</vt:lpstr>
      <vt:lpstr>data</vt:lpstr>
      <vt:lpstr>Rcod</vt:lpstr>
      <vt:lpstr>FANsetting</vt:lpstr>
      <vt:lpstr>MHL&amp;AHB</vt:lpstr>
      <vt:lpstr>WelGby Patten</vt:lpstr>
      <vt:lpstr>Light Control</vt:lpstr>
      <vt:lpstr>excel技巧</vt:lpstr>
      <vt:lpstr>Pictures</vt:lpstr>
      <vt:lpstr>Param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王刘</dc:creator>
  <cp:lastModifiedBy>范焱</cp:lastModifiedBy>
  <dcterms:created xsi:type="dcterms:W3CDTF">2015-06-05T18:17:00Z</dcterms:created>
  <dcterms:modified xsi:type="dcterms:W3CDTF">2025-12-24T01:35:46Z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325F34004F384BAF9830FBFD98FF71C7</vt:lpwstr>
  </property>
  <property fmtid="{D5CDD505-2E9C-101B-9397-08002B2CF9AE}" pid="3" name="KSOProductBuildVer">
    <vt:lpwstr>2052-11.1.0.10314</vt:lpwstr>
  </property>
</Properties>
</file>